
<file path=[Content_Types].xml><?xml version="1.0" encoding="utf-8"?>
<ns0:Types xmlns:ns0="http://schemas.openxmlformats.org/package/2006/content-types">
  <ns0:Default ContentType="application/vnd.openxmlformats-officedocument.vmlDrawing" Extension="vml"/>
  <ns0:Default ContentType="application/xml" Extension="xml"/>
  <ns0:Default ContentType="application/vnd.openxmlformats-officedocument.obfuscatedFont" Extension="odttf"/>
  <ns0:Default ContentType="application/vnd.openxmlformats-package.relationships+xml" Extension="rels"/>
  <ns0:Override ContentType="application/vnd.openxmlformats-officedocument.spreadsheetml.worksheet+xml" PartName="/xl/worksheets/sheet1.xml"/>
  <ns0:Override ContentType="application/binary" PartName="/xl/metadata"/>
  <ns0:Override ContentType="application/binary" PartName="/xl/commentsmeta0"/>
  <ns0:Override ContentType="application/vnd.openxmlformats-officedocument.spreadsheetml.sharedStrings+xml" PartName="/xl/sharedStrings.xml"/>
  <ns0:Override ContentType="application/vnd.openxmlformats-officedocument.drawing+xml" PartName="/xl/drawings/drawing4.xml"/>
  <ns0:Override ContentType="application/vnd.openxmlformats-officedocument.drawing+xml" PartName="/xl/drawings/drawing3.xml"/>
  <ns0:Override ContentType="application/vnd.openxmlformats-officedocument.drawing+xml" PartName="/xl/drawings/drawing1.xml"/>
  <ns0:Override ContentType="application/vnd.openxmlformats-officedocument.drawing+xml" PartName="/xl/drawings/drawing2.xml"/>
  <ns0:Override ContentType="application/vnd.openxmlformats-package.core-properties+xml" PartName="/docProps/core.xml"/>
  <ns0:Override ContentType="application/vnd.openxmlformats-officedocument.spreadsheetml.styles+xml" PartName="/xl/styles.xml"/>
  <ns0:Override ContentType="application/vnd.openxmlformats-officedocument.spreadsheetml.comments+xml" PartName="/xl/comments1.xml"/>
  <ns0:Override ContentType="application/vnd.openxmlformats-officedocument.drawingml.chart+xml" PartName="/xl/charts/chart1.xml"/>
  <ns0:Override ContentType="application/vnd.openxmlformats-officedocument.drawingml.chart+xml" PartName="/xl/charts/chart4.xml"/>
  <ns0:Override ContentType="application/vnd.openxmlformats-officedocument.drawingml.chart+xml" PartName="/xl/charts/chart3.xml"/>
  <ns0:Override ContentType="application/vnd.openxmlformats-officedocument.drawingml.chart+xml" PartName="/xl/charts/chart2.xml"/>
  <ns0:Override ContentType="application/vnd.openxmlformats-officedocument.theme+xml" PartName="/xl/theme/theme1.xml"/>
  <ns0:Override ContentType="application/vnd.openxmlformats-officedocument.spreadsheetml.sheet.main+xml" PartName="/xl/workbook.xml"/>
</ns0: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xmlns:ns2="http://customooxmlschemas.google.com/">
  <ns0:workbookPr/>
  <ns0:sheets>
    <ns0:sheet state="visible" name="ABLLs" sheetId="1" ns1:id="rId4"/>
  </ns0:sheets>
  <ns0:definedNames/>
  <ns0:calcPr/>
  <ns0:extLst>
    <ns0:ext uri="GoogleSheetsCustomDataVersion2">
      <ns2:sheetsCustomData ns1:id="rId8" roundtripDataChecksum="wZueYKthJzKRhJHFBqPifQ79Op7woQFS9K3lqIBIpuE="/>
    </ns0:ext>
  </ns0:extLst>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86">
      <text>
        <t xml:space="preserve">======
ID#AAABBAjlTpU
Deleted user    (2023-12-12 15:40:21)
4 = successfully obtains and maintains interactions with peers &amp; adults</t>
      </text>
    </comment>
    <comment authorId="0" ref="S86">
      <text>
        <t xml:space="preserve">======
ID#AAABBAjlTpQ
Deleted user    (2023-12-12 15:39:54)
3 = will persist in attempting to get attention from adults and peers</t>
      </text>
    </comment>
    <comment authorId="0" ref="R86">
      <text>
        <t xml:space="preserve">======
ID#AAABBAjlTpM
Deleted user    (2023-12-12 15:39:47)
2 = can get attention from responsive adults &amp; peers</t>
      </text>
    </comment>
    <comment authorId="0" ref="Q86">
      <text>
        <t xml:space="preserve">======
ID#AAABBAjlTpI
Deleted user    (2023-12-12 15:39:38)
1 = can get attention from responsive adults</t>
      </text>
    </comment>
    <comment authorId="0" ref="U86">
      <text>
        <t xml:space="preserve">======
ID#AAABBAjlTpE
Deleted user    (2023-12-12 15:39:30)
The student will be able to get and maintain another individual's attention prior to presenting an instruction to that individual.</t>
      </text>
    </comment>
    <comment authorId="0" ref="S87">
      <text>
        <t xml:space="preserve">======
ID#AAABBAjlTpA
Deleted user    (2023-12-12 15:39:15)
2 = frequently and spontaneously asks peers and adults for information</t>
      </text>
    </comment>
    <comment authorId="0" ref="Q87">
      <text>
        <t xml:space="preserve">======
ID#AAABBAjlTo8
Deleted user    (2023-12-12 15:39:05)
1 = occasionally will spontaneously ask an individual for information</t>
      </text>
    </comment>
    <comment authorId="0" ref="U87">
      <text>
        <t xml:space="preserve">======
ID#AAABBAjlTo4
Deleted user    (2023-12-12 15:38:54)
The student will spontaneously ask both peers and adults for information.</t>
      </text>
    </comment>
    <comment authorId="0" ref="T88">
      <text>
        <t xml:space="preserve">======
ID#AAABBAjlTo0
Deleted user    (2023-12-12 15:38:47)
4 = at least 3 exchanges with adults &amp; peers</t>
      </text>
    </comment>
    <comment authorId="0" ref="S88">
      <text>
        <t xml:space="preserve">======
ID#AAABBAjlTow
Deleted user    (2023-12-12 15:38:39)
3 = 2 exchanges with adults &amp; peers</t>
      </text>
    </comment>
    <comment authorId="0" ref="R88">
      <text>
        <t xml:space="preserve">======
ID#AAABBAjlTos
Deleted user    (2023-12-12 15:38:34)
2 = 1 exchange with adults &amp; peers</t>
      </text>
    </comment>
    <comment authorId="0" ref="Q88">
      <text>
        <t xml:space="preserve">======
ID#AAABBAjlToo
Deleted user    (2023-12-12 15:38:26)
1 = 1 exchange with adults</t>
      </text>
    </comment>
    <comment authorId="0" ref="U88">
      <text>
        <t xml:space="preserve">======
ID#AAABBAjlTok
Deleted user    (2023-12-12 15:38:16)
The student will converse with adults and peers for up to three exchanges.</t>
      </text>
    </comment>
    <comment authorId="0" ref="S89">
      <text>
        <t xml:space="preserve">======
ID#AAABBAjlTog
Deleted user    (2023-12-12 15:38:06)
2 = when others are talking, usually waits for a person to look at him before speaking or appropriately attempts to catch speakers' attention ("excuse me")</t>
      </text>
    </comment>
    <comment authorId="0" ref="Q89">
      <text>
        <t xml:space="preserve">======
ID#AAABBAjlToc
Deleted user    (2023-12-12 15:37:31)
1 = will wait for speakers to finish if given a hand signal to wait by one of the speakers</t>
      </text>
    </comment>
    <comment authorId="0" ref="U89">
      <text>
        <t xml:space="preserve">======
ID#AAABBAjlToY
Deleted user    (2023-12-12 15:37:24)
The student will be able to wait for a break in an on- going conversation before
attempting to speak with one of the people involved in the conversation.</t>
      </text>
    </comment>
    <comment authorId="0" ref="S90">
      <text>
        <t xml:space="preserve">======
ID#AAABBAjlToU
Deleted user    (2023-12-12 15:36:27)
2 = can find a specified person, get their attention and deliver a four-word message after going into an adjoining room to deliver the message</t>
      </text>
    </comment>
    <comment authorId="0" ref="Q90">
      <text>
        <t xml:space="preserve">======
ID#AAABBAjlToQ
Deleted user    (2023-12-12 15:36:16)
1 = can deliver a three-word message after going across a room to deliver the message</t>
      </text>
    </comment>
    <comment authorId="0" ref="U90">
      <text>
        <t xml:space="preserve">======
ID#AAABBAjlToM
Deleted user    (2023-12-12 15:36:08)
The student will be able to go to a person repeat a short message that he was asked to say to the person.</t>
      </text>
    </comment>
    <comment authorId="0" ref="S91">
      <text>
        <t xml:space="preserve">======
ID#AAABBAjlToI
Deleted user    (2023-12-12 15:36:01)
2 = will usually notice from a peer's facial feedback (e.g., smiles and looks interested, looks away) that he is interested or not interested in something</t>
      </text>
    </comment>
    <comment authorId="0" ref="Q91">
      <text>
        <t xml:space="preserve">======
ID#AAABBAjlToE
Deleted user    (2023-12-12 15:35:53)
1 = will respond to peer's level of interest only when directly told by the peer that they are or are not interested</t>
      </text>
    </comment>
    <comment authorId="0" ref="U91">
      <text>
        <t xml:space="preserve">======
ID#AAABBAjlToA
Deleted user    (2023-12-12 15:35:43)
The student will be able to attend to and respond to feedback from others that indicate their interest in a topic or activity.</t>
      </text>
    </comment>
    <comment authorId="0" ref="S92">
      <text>
        <t xml:space="preserve">======
ID#AAABBAjlTn8
Deleted user    (2023-12-12 15:35:34)
2 = frequently directs several different peers and adults to items and activities that would be of interest to each person</t>
      </text>
    </comment>
    <comment authorId="0" ref="Q92">
      <text>
        <t xml:space="preserve">======
ID#AAABBAjlTn4
Deleted user    (2023-12-12 15:35:26)
1 = can direct at least one individual to something that is of interest to that person at least twice per week</t>
      </text>
    </comment>
    <comment authorId="0" ref="U92">
      <text>
        <t xml:space="preserve">======
ID#AAABBAjlTn0
Deleted user    (2023-12-12 15:35:17)
The student will be able to know what activities, news or items would be of interest to specific individuals and will direct their attention to those items.</t>
      </text>
    </comment>
    <comment authorId="0" ref="S93">
      <text>
        <t xml:space="preserve">======
ID#AAABBAjlTnw
Deleted user    (2023-12-12 15:35:08)
2 = knows at least 2 specific things enjoyed or not enjoyed by at least 4 people</t>
      </text>
    </comment>
    <comment authorId="0" ref="Q93">
      <text>
        <t xml:space="preserve">======
ID#AAABBAjlTns
Deleted user    (2023-12-12 15:35:00)
1 = knows at least 2 specific things enjoyed or not enjoyed by at least 2 people</t>
      </text>
    </comment>
    <comment authorId="0" ref="U93">
      <text>
        <t xml:space="preserve">======
ID#AAABBAjlTno
Deleted user    (2023-12-12 15:34:47)
The student will be able to state items and activities that are enjoyed by others and state which people like a particular item or activity.</t>
      </text>
    </comment>
    <comment authorId="0" ref="S94">
      <text>
        <t xml:space="preserve">======
ID#AAABBAjlTnk
Deleted user    (2023-12-12 15:34:39)
2 = will usually make adjustments to accommodate a peer when the peer indirectly indicates a problem (can't see it")</t>
      </text>
    </comment>
    <comment authorId="0" ref="Q94">
      <text>
        <t xml:space="preserve">======
ID#AAABBAjlTng
Deleted user    (2023-12-12 15:34:27)
1 = will usually make adjustments to
accommodate a peer when the peer asked the student to take a certain action (e.g., "move over")</t>
      </text>
    </comment>
    <comment authorId="0" ref="U94">
      <text>
        <t xml:space="preserve">======
ID#AAABBAjlTnc
Deleted user    (2023-12-12 15:34:15)
When others indicate that they are unable to get to something or unable to see or hear something, the student will arrange the materials so the peer can participate in the activity.</t>
      </text>
    </comment>
    <comment authorId="0" ref="S95">
      <text>
        <t xml:space="preserve">======
ID#AAABBAjlTnY
Deleted user    (2023-12-12 15:33:29)
2 = usually attends to and makes adjustments based on a peer's actions</t>
      </text>
    </comment>
    <comment authorId="0" ref="Q95">
      <text>
        <t xml:space="preserve">======
ID#AAABBAjlTnU
Deleted user    (2023-12-12 15:33:22)
1 = occasionally attends to and makes adjustments to task related activity based on a peer's actions</t>
      </text>
    </comment>
    <comment authorId="0" ref="U95">
      <text>
        <t xml:space="preserve">======
ID#AAABBAjlTnQ
Deleted user    (2023-12-12 15:33:10)
During a task-related activity,
the student will be able to observe changes in a peer's behavior and adjust his actions to correspond to the peer.</t>
      </text>
    </comment>
    <comment authorId="0" ref="S96">
      <text>
        <t xml:space="preserve">======
ID#AAABBAjlTnM
Deleted user    (2023-12-12 15:32:39)
2 = usually follows both stated and implied directions from peers in a variety of contexts</t>
      </text>
    </comment>
    <comment authorId="0" ref="Q96">
      <text>
        <t xml:space="preserve">======
ID#AAABBAjlTnI
Deleted user    (2023-12-12 15:32:15)
1 = follows stated directions from at least one peer to adjust his behavior in at least one situation</t>
      </text>
    </comment>
    <comment authorId="0" ref="U96">
      <text>
        <t xml:space="preserve">======
ID#AAABBAjlTnE
Deleted user    (2023-12-12 15:32:03)
The student will be able to follow directions from peers to adjust his behavior to be more socially acceptable.</t>
      </text>
    </comment>
    <comment authorId="0" ref="S97">
      <text>
        <t xml:space="preserve">======
ID#AAABBAjlTnA
Deleted user    (2023-12-12 15:29:42)
2 = will usually look at or approach and investigate an item or activity
when a few peers turn to look at or show an interest in an item or event</t>
      </text>
    </comment>
    <comment authorId="0" ref="Q97">
      <text>
        <t xml:space="preserve">======
ID#AAABBAjlTm8
Deleted user    (2023-12-12 15:29:25)
1 = will usually approach and investigate an item or activity when a large group of his peers points to an item or changes location and shows an interest in a particular item or event</t>
      </text>
    </comment>
    <comment authorId="0" ref="U97">
      <text>
        <t xml:space="preserve">======
ID#AAABBAjlTm4
Deleted user    (2023-12-12 15:29:11)
The student will be able to attend to peers' orientation to items and events.</t>
      </text>
    </comment>
    <comment authorId="0" ref="S98">
      <text>
        <t xml:space="preserve">======
ID#AAABBAjlTm0
Deleted user    (2023-12-12 15:28:49)
2 = without it being suggested by an adult, student will join a group of peers engaged in a desired ongoing activity</t>
      </text>
    </comment>
    <comment authorId="0" ref="Q98">
      <text>
        <t xml:space="preserve">======
ID#AAABBAjlTmw
Deleted user    (2023-12-12 15:28:41)
1 = when suggested by an adult, student will join a group of peers engaged in a desired ongoing activity</t>
      </text>
    </comment>
    <comment authorId="0" ref="U98">
      <text>
        <t xml:space="preserve">======
ID#AAABBAjlTms
Deleted user    (2023-12-12 15:28:30)
The student will be able to approach peers and join an ongoing activity.</t>
      </text>
    </comment>
    <comment authorId="0" ref="S99">
      <text>
        <t xml:space="preserve">======
ID#AAABBAjlTmo
Deleted user    (2023-12-12 15:28:18)
2 = student greets peers without prompts</t>
      </text>
    </comment>
    <comment authorId="0" ref="Q99">
      <text>
        <t xml:space="preserve">======
ID#AAABBAjlTmk
Deleted user    (2023-12-12 15:28:08)
1 = student greets peers but often requires a verbal prompt</t>
      </text>
    </comment>
    <comment authorId="0" ref="U99">
      <text>
        <t xml:space="preserve">======
ID#AAABBAjlTmg
Deleted user    (2023-12-12 15:27:59)
The student will appropriately initiate greetings to others.</t>
      </text>
    </comment>
    <comment authorId="0" ref="T100">
      <text>
        <t xml:space="preserve">======
ID#AAABBAjlTmc
Deleted user    (2023-12-12 15:27:50)
4 = often makes independent multiple attempts</t>
      </text>
    </comment>
    <comment authorId="0" ref="S100">
      <text>
        <t xml:space="preserve">======
ID#AAABBAjlTmY
Deleted user    (2023-12-12 15:27:36)
3 = sometimes makes independent multiple attempts</t>
      </text>
    </comment>
    <comment authorId="0" ref="R100">
      <text>
        <t xml:space="preserve">======
ID#AAABBAjlTmU
Deleted user    (2023-12-12 15:27:26)
2 = makes single independent attempts</t>
      </text>
    </comment>
    <comment authorId="0" ref="Q100">
      <text>
        <t xml:space="preserve">======
ID#AAABBAjlTmQ
Deleted user    (2023-12-12 15:27:19)
1 = makes a single attempt when prompted</t>
      </text>
    </comment>
    <comment authorId="0" ref="U100">
      <text>
        <t xml:space="preserve">======
ID#AAABBAjlTmM
Deleted user    (2023-12-12 15:27:12)
The student will offer to share items with others.</t>
      </text>
    </comment>
    <comment authorId="0" ref="S101">
      <text>
        <t xml:space="preserve">======
ID#AAABBAjlTmI
Deleted user    (2023-12-12 15:26:40)
2 = usually without prompts</t>
      </text>
    </comment>
    <comment authorId="0" ref="Q101">
      <text>
        <t xml:space="preserve">======
ID#AAABBAjlTmE
Deleted user    (2023-12-12 15:26:34)
1 = does when prompted</t>
      </text>
    </comment>
    <comment authorId="0" ref="U101">
      <text>
        <t xml:space="preserve">======
ID#AAABBAjlTmA
Deleted user    (2023-12-12 15:26:27)
The student will ask others to share their items (multiple) with him.</t>
      </text>
    </comment>
    <comment authorId="0" ref="S102">
      <text>
        <t xml:space="preserve">======
ID#AAABBAjlTl8
Deleted user    (2023-12-12 15:26:18)
2 = spontaneously and frequently asks peers for items without prompts</t>
      </text>
    </comment>
    <comment authorId="0" ref="Q102">
      <text>
        <t xml:space="preserve">======
ID#AAABBAjlTl4
Deleted user    (2023-12-12 15:26:04)
1 = asks peers for items with prompts</t>
      </text>
    </comment>
    <comment authorId="0" ref="U102">
      <text>
        <t xml:space="preserve">======
ID#AAABBAjlTl0
Deleted user    (2023-12-12 15:25:55)
The student will ask peers for (single) items.</t>
      </text>
    </comment>
    <comment authorId="0" ref="S103">
      <text>
        <t xml:space="preserve">======
ID#AAABBAjlTlw
Deleted user    (2023-12-12 15:25:48)
2 = when as a listener &amp; speaker with adults &amp; peers</t>
      </text>
    </comment>
    <comment authorId="0" ref="Q103">
      <text>
        <t xml:space="preserve">======
ID#AAABBAjlTls
Deleted user    (2023-12-12 15:25:41)
1 = when as a listener &amp; speaker with adults</t>
      </text>
    </comment>
    <comment authorId="0" ref="U103">
      <text>
        <t xml:space="preserve">======
ID#AAABBAjlTlo
Deleted user    (2023-12-12 15:25:34)
The student will make appropriate eye contact when interacting with others.</t>
      </text>
    </comment>
    <comment authorId="0" ref="T104">
      <text>
        <t xml:space="preserve">======
ID#AAABBAjlTlk
Deleted user    (2023-12-12 15:25:21)
4 = labels multiple items for 3 peers and adults without prompts</t>
      </text>
    </comment>
    <comment authorId="0" ref="S104">
      <text>
        <t xml:space="preserve">======
ID#AAABBAjlTlg
Deleted user    (2023-12-12 15:25:11)
3 = single label for 1 peer &amp; multiple for adults without prompts</t>
      </text>
    </comment>
    <comment authorId="0" ref="R104">
      <text>
        <t xml:space="preserve">======
ID#AAABBAjlTlc
Deleted user    (2023-12-12 15:24:44)
2 = single label for 1 peer without prompts</t>
      </text>
    </comment>
    <comment authorId="0" ref="Q104">
      <text>
        <t xml:space="preserve">======
ID#AAABBAjlTlY
Deleted user    (2023-12-12 15:24:34)
1 = single label for adults without prompts</t>
      </text>
    </comment>
    <comment authorId="0" ref="U104">
      <text>
        <t xml:space="preserve">======
ID#AAABBAjlTlU
Deleted user    (2023-12-12 15:24:26)
The student will spontaneously label items for both adults and peers.</t>
      </text>
    </comment>
    <comment authorId="0" ref="S105">
      <text>
        <t xml:space="preserve">======
ID#AAABBAjlTlQ
Deleted user    (2023-12-12 15:24:17)
2 = engage in actions to get others to attend to what he is about to do and ensure they are attending to him at least 3 times per day</t>
      </text>
    </comment>
    <comment authorId="0" ref="Q105">
      <text>
        <t xml:space="preserve">======
ID#AAABBAjlTlM
Deleted user    (2023-12-12 15:23:53)
1 = engage in actions to get others to attend to what he is about to do and ensure they are attending to him at least 6 times per week (Note: these actions do not include "disruptive behavior" that result in attention from others)</t>
      </text>
    </comment>
    <comment authorId="0" ref="U105">
      <text>
        <t xml:space="preserve">======
ID#AAABBAjlTlI
Deleted user    (2023-12-12 15:23:40)
The student will be able to initiate an interaction with others and then look to see who is watching him before engaging in an action.</t>
      </text>
    </comment>
    <comment authorId="0" ref="S106">
      <text>
        <t xml:space="preserve">======
ID#AAABBAjlTlE
Deleted user    (2023-12-12 15:23:34)
2 = will usually seek a missing person when he has been engaged in a fun activity with the peer or adult</t>
      </text>
    </comment>
    <comment authorId="0" ref="Q106">
      <text>
        <t xml:space="preserve">======
ID#AAABBAjlTlA
Deleted user    (2023-12-12 15:23:25)
1 = will seek the missing person when the person leaves with a reinforcing item</t>
      </text>
    </comment>
    <comment authorId="0" ref="U106">
      <text>
        <t xml:space="preserve">======
ID#AAABBAjlTk8
Deleted user    (2023-12-12 15:23:17)
The student will try to locate a significant person when that person leaves the child's visual field.</t>
      </text>
    </comment>
    <comment authorId="0" ref="S107">
      <text>
        <t xml:space="preserve">======
ID#AAABBAjlTk4
Deleted user    (2023-12-12 15:23:10)
2 = usually without prompts</t>
      </text>
    </comment>
    <comment authorId="0" ref="Q107">
      <text>
        <t xml:space="preserve">======
ID#AAABBAjlTk0
Deleted user    (2023-12-12 15:23:04)
1 = does when prompted</t>
      </text>
    </comment>
    <comment authorId="0" ref="U107">
      <text>
        <t xml:space="preserve">======
ID#AAABBAjlTkw
Deleted user    (2023-12-12 15:22:55)
The student will allow others to use items which he is using/possesses.</t>
      </text>
    </comment>
    <comment authorId="0" ref="S108">
      <text>
        <t xml:space="preserve">======
ID#AAABBAjlTks
Deleted user    (2023-12-12 15:22:14)
2 = readily goes along with interactions initiated by peers in most positive situations</t>
      </text>
    </comment>
    <comment authorId="0" ref="Q108">
      <text>
        <t xml:space="preserve">======
ID#AAABBAjlTko
Deleted user    (2023-12-12 15:22:03)
1 = when carefully approached, goes along with interactions initiated by some peers, in some situations</t>
      </text>
    </comment>
    <comment authorId="0" ref="U108">
      <text>
        <t xml:space="preserve">======
ID#AAABBAjlTkk
Deleted user    (2023-12-12 15:21:53)
The student will respond appropriately to the attempts of peers to engage the student in an interaction (e.g., play with a toy or game, participate in an outdoor activity).</t>
      </text>
    </comment>
    <comment authorId="0" ref="T109">
      <text>
        <t xml:space="preserve">======
ID#AAABBAjlTkg
Deleted user    (2023-12-12 15:21:25)
4 = often makes independent multiple attempts</t>
      </text>
    </comment>
    <comment authorId="0" ref="S109">
      <text>
        <t xml:space="preserve">======
ID#AAABBAjlTkc
Deleted user    (2023-12-12 15:21:17)
3 = sometimes makes independent multiple attempts</t>
      </text>
    </comment>
    <comment authorId="0" ref="R109">
      <text>
        <t xml:space="preserve">======
ID#AAABBAjlTkY
Deleted user    (2023-12-12 15:21:09)
2 = makes single independent attempts</t>
      </text>
    </comment>
    <comment authorId="0" ref="Q109">
      <text>
        <t xml:space="preserve">======
ID#AAABBAjlTkU
Deleted user    (2023-12-12 15:21:02)
1 = makes a single attempt when prompted</t>
      </text>
    </comment>
    <comment authorId="0" ref="U109">
      <text>
        <t xml:space="preserve">======
ID#AAABBAjlTkQ
Deleted user    (2023-12-12 15:20:52)
The student will approach and attempt to physically prompt others to do a specific activity.</t>
      </text>
    </comment>
    <comment authorId="0" ref="S110">
      <text>
        <t xml:space="preserve">======
ID#AAABBAjlTkM
Deleted user    (2023-12-12 15:20:42)
2 = student returns greetings from peers without prompts</t>
      </text>
    </comment>
    <comment authorId="0" ref="Q110">
      <text>
        <t xml:space="preserve">======
ID#AAABBAjlTkI
Deleted user    (2023-12-12 15:20:33)
1 = student returns greetings from peers but often requires an indirect verbal prompt</t>
      </text>
    </comment>
    <comment authorId="0" ref="U110">
      <text>
        <t xml:space="preserve">======
ID#AAABBAjlTkE
Deleted user    (2023-12-12 15:20:25)
The student will return greetings from others.</t>
      </text>
    </comment>
    <comment authorId="0" ref="S111">
      <text>
        <t xml:space="preserve">======
ID#AAABBAjlTkA
Deleted user    (2023-12-12 15:20:16)
2 = imitates multiple-step sequences of motor and verbal behaviors exhibited by peers</t>
      </text>
    </comment>
    <comment authorId="0" ref="Q111">
      <text>
        <t xml:space="preserve">======
ID#AAABBAjlTj8
Deleted user    (2023-12-12 15:20:08)
1 = imitates simple, single-step movements of peers</t>
      </text>
    </comment>
    <comment authorId="0" ref="U111">
      <text>
        <t xml:space="preserve">======
ID#AAABBAjlTj4
Deleted user    (2023-12-12 15:19:56)
The student will attend to and imitate the physical and verbal behavior of peers.</t>
      </text>
    </comment>
    <comment authorId="0" ref="S112">
      <text>
        <t xml:space="preserve">======
ID#AAABBAjlTj0
Deleted user    (2023-12-12 15:19:40)
2 = follows known instructions from adults &amp; peers at least 75% of the time</t>
      </text>
    </comment>
    <comment authorId="0" ref="Q112">
      <text>
        <t xml:space="preserve">======
ID#AAABBAjlTjw
Deleted user    (2023-12-12 15:19:33)
1 = usually follows known instructions from adults at least 75% of the time</t>
      </text>
    </comment>
    <comment authorId="0" ref="U112">
      <text>
        <t xml:space="preserve">======
ID#AAABBAjlTjs
Deleted user    (2023-12-12 15:19:25)
The student will be able to follow simple known directions provided by another individual.</t>
      </text>
    </comment>
    <comment authorId="0" ref="S113">
      <text>
        <t xml:space="preserve">======
ID#AAABBAjlTjo
Deleted user    (2023-12-12 15:19:08)
2 = usually looks at a person in anticipation of a repeat of a reinforcing action</t>
      </text>
    </comment>
    <comment authorId="0" ref="Q113">
      <text>
        <t xml:space="preserve">======
ID#AAABBAjlTjk
Deleted user    (2023-12-12 15:19:00)
1 = when provided with some additional verbal prompting, student looks at a person in anticipation of a repeat of a reinforcing action</t>
      </text>
    </comment>
    <comment authorId="0" ref="U113">
      <text>
        <t xml:space="preserve">======
ID#AAABBAjlTjg
Deleted user    (2023-12-12 15:18:50)
The student will be able to look at a person (in anticipation) just before the person is to complete an action that will produce a desired outcome.</t>
      </text>
    </comment>
    <comment authorId="0" ref="U114">
      <text>
        <t xml:space="preserve">======
ID#AAABBAjlTjc
Deleted user    (2023-12-12 15:17:47)
The student will approach and attempt to physically engage others in interactions even when the other person does not have a reinforcing item.</t>
      </text>
    </comment>
    <comment authorId="0" ref="S114">
      <text>
        <t xml:space="preserve">======
ID#AAABBAjlTjU
Deleted user    (2023-12-12 15:15:24)
2 = frequently approaches and
makes attempts to physically engage others in interactions</t>
      </text>
    </comment>
    <comment authorId="0" ref="Q114">
      <text>
        <t xml:space="preserve">======
ID#AAABBAjlTjQ
Deleted user    (2023-12-12 15:15:15)
1 = occasionally approaches and makes attempts to physically engage others in interactions</t>
      </text>
    </comment>
    <comment authorId="0" ref="S115">
      <text>
        <t xml:space="preserve">======
ID#AAABBAjlTjI
Deleted user    (2023-12-12 15:14:56)
2 = student regularly initiates social interactions with both peers and adults by looking at them</t>
      </text>
    </comment>
    <comment authorId="0" ref="Q115">
      <text>
        <t xml:space="preserve">======
ID#AAABBAjlTjE
Deleted user    (2023-12-12 15:14:45)
1 = student occasionally initiates social interaction by looking at an individual</t>
      </text>
    </comment>
    <comment authorId="0" ref="U115">
      <text>
        <t xml:space="preserve">======
ID#AAABBAjlTjA
Deleted user    (2023-12-12 15:14:39)
The student will look at others (peers and adults) in such a manner as to initiate a social interaction.</t>
      </text>
    </comment>
    <comment authorId="0" ref="S116">
      <text>
        <t xml:space="preserve">======
ID#AAABBAjlTi8
Deleted user    (2023-12-12 15:14:28)
2 = attends to the physical and verbal behavior of peers</t>
      </text>
    </comment>
    <comment authorId="0" ref="Q116">
      <text>
        <t xml:space="preserve">======
ID#AAABBAjlTi4
Deleted user    (2023-12-12 15:14:07)
1 = attends to the physical actions of peers</t>
      </text>
    </comment>
    <comment authorId="0" ref="U116">
      <text>
        <t xml:space="preserve">======
ID#AAABBAjlTi0
Deleted user    (2023-12-12 15:14:00)
The student will attend to or show an interest in the physical and verbal behavior of peers.</t>
      </text>
    </comment>
    <comment authorId="0" ref="S117">
      <text>
        <t xml:space="preserve">======
ID#AAABBAjlTiw
Deleted user    (2023-12-12 15:13:52)
2 = readily allows both peers/siblings and adults to touch in a positive manner and assist them in most situations</t>
      </text>
    </comment>
    <comment authorId="0" ref="Q117">
      <text>
        <t xml:space="preserve">======
ID#AAABBAjlTis
Deleted user    (2023-12-12 15:13:41)
1 = when carefully approached allows some individuals to touch in a positive manner and assist them in some situations</t>
      </text>
    </comment>
    <comment authorId="0" ref="U117">
      <text>
        <t xml:space="preserve">======
ID#AAABBAjlTio
Deleted user    (2023-12-12 15:13:33)
The student will respond appropriately (i.e., not cry or attempt to physically get away from a person) to positive physical interactions initiated by others (e.g., take and hold his hand, "high 5", physically help him get onto a swing).</t>
      </text>
    </comment>
    <comment authorId="0" ref="S118">
      <text>
        <t xml:space="preserve">======
ID#AAABBAjlTik
Deleted user    (2023-12-12 15:12:49)
2 = will usually walk to and take the preferred item from peers and adults who are more than 8 feet away</t>
      </text>
    </comment>
    <comment authorId="0" ref="Q118">
      <text>
        <t xml:space="preserve">======
ID#AAABBAjlTig
Deleted user    (2023-12-12 15:12:39)
1 = will take the preferred item from peers and adults who are less than 3 feet away</t>
      </text>
    </comment>
    <comment authorId="0" ref="U118">
      <text>
        <t xml:space="preserve">======
ID#AAABBAjlTic
Deleted user    (2023-12-12 15:12:31)
When offered a preferred item, the student will take the item from both peers and adults.</t>
      </text>
    </comment>
    <comment authorId="0" ref="T119">
      <text>
        <t xml:space="preserve">======
ID#AAABBAjlTiY
Deleted user    (2023-12-12 15:12:22)
4 = student is appropriate when near peers/siblings for at least 30 minutes</t>
      </text>
    </comment>
    <comment authorId="0" ref="S119">
      <text>
        <t xml:space="preserve">======
ID#AAABBAjlTiU
Deleted user    (2023-12-12 15:12:12)
3 = appropriate for 15 minutes</t>
      </text>
    </comment>
    <comment authorId="0" ref="R119">
      <text>
        <t xml:space="preserve">======
ID#AAABBAjlTiQ
Deleted user    (2023-12-12 15:11:59)
2 = student is appropriate for 5 minutes with only 1 verbal prompt</t>
      </text>
    </comment>
    <comment authorId="0" ref="Q119">
      <text>
        <t xml:space="preserve">======
ID#AAABBAjlTiM
Deleted user    (2023-12-12 15:11:50)
1 = student is appropriate for at least 5 minutes but requires multiple verbal prompts</t>
      </text>
    </comment>
    <comment authorId="0" ref="U119">
      <text>
        <t xml:space="preserve">======
ID#AAABBAjlTiI
Deleted user    (2023-12-12 15:11:37)
The student will engage in appropriate physical interaction behavior while in close physical proximity with peers or siblings.</t>
      </text>
    </comment>
    <comment authorId="0" ref="N105">
      <text>
        <t xml:space="preserve">======
ID#AAABBAjlTiE
Deleted user    (2023-12-12 15:10:57)
4 = can play at least three board game without assistance</t>
      </text>
    </comment>
    <comment authorId="0" ref="M105">
      <text>
        <t xml:space="preserve">======
ID#AAABBAjlTiA
Deleted user    (2023-12-12 15:10:43)
3 = can play at least two board games without assistance</t>
      </text>
    </comment>
    <comment authorId="0" ref="L105">
      <text>
        <t xml:space="preserve">======
ID#AAABBAjlTh8
Deleted user    (2023-12-12 15:10:33)
2 = only needs some prompts either to attend to his turn OR to complete the action (not both)</t>
      </text>
    </comment>
    <comment authorId="0" ref="K105">
      <text>
        <t xml:space="preserve">======
ID#AAABBAjlTh4
Deleted user    (2023-12-12 15:10:14)
1 = can participate in playing board games but needs some prompts to attend to when it is his turn and some prompts to complete the necessary actions of the game (not totally prompted)</t>
      </text>
    </comment>
    <comment authorId="0" ref="O105">
      <text>
        <t xml:space="preserve">======
ID#AAABBAjlTh0
Deleted user    (2023-12-12 15:09:36)
The student will be able to play board games with peers.</t>
      </text>
    </comment>
    <comment authorId="0" ref="N106">
      <text>
        <t xml:space="preserve">======
ID#AAABBAjlThw
Deleted user    (2023-12-12 15:09:19)
4 = can play at least 3 interactive games without assistance</t>
      </text>
    </comment>
    <comment authorId="0" ref="M106">
      <text>
        <t xml:space="preserve">======
ID#AAABBAjlThs
Deleted user    (2023-12-12 15:09:11)
3 = can play at least 2 interactive games without assistance</t>
      </text>
    </comment>
    <comment authorId="0" ref="L106">
      <text>
        <t xml:space="preserve">======
ID#AAABBAjlTho
Deleted user    (2023-12-12 15:09:02)
2 = only needs some prompts either to attend to his turn OR to complete the action (not both)</t>
      </text>
    </comment>
    <comment authorId="0" ref="K106">
      <text>
        <t xml:space="preserve">======
ID#AAABBAjlThk
Deleted user    (2023-12-12 15:08:51)
1 = can participate in playing games but needs some prompts to attend to when it is his turn and some prompts to complete the necessary actions of the game (not totally prompted)</t>
      </text>
    </comment>
    <comment authorId="0" ref="O106">
      <text>
        <t xml:space="preserve">======
ID#AAABBAjlThg
Deleted user    (2023-12-12 15:08:38)
The student will be able to play interactive games that require him to attend to the actions of others and adjust his participation based on his peers' behavior.</t>
      </text>
    </comment>
    <comment authorId="0" ref="N107">
      <text>
        <t xml:space="preserve">======
ID#AAABBAjlThc
Deleted user    (2023-12-12 15:08:28)
4 = follows both stated and implied directions from peers in at least four play activities</t>
      </text>
    </comment>
    <comment authorId="0" ref="M107">
      <text>
        <t xml:space="preserve">======
ID#AAABBAjlThY
Deleted user    (2023-12-12 15:08:21)
3 = follows both stated and implied directions from peers in at least three play activities</t>
      </text>
    </comment>
    <comment authorId="0" ref="L107">
      <text>
        <t xml:space="preserve">======
ID#AAABBAjlThU
Deleted user    (2023-12-12 15:08:12)
2 = follows both stated and implied directions from peers in at least one play activity</t>
      </text>
    </comment>
    <comment authorId="0" ref="K107">
      <text>
        <t xml:space="preserve">======
ID#AAABBAjlThQ
Deleted user    (2023-12-12 15:08:02)
1 = follows stated directions from peers to perform at least one activity without requiring extensive peer prompting</t>
      </text>
    </comment>
    <comment authorId="0" ref="O107">
      <text>
        <t xml:space="preserve">======
ID#AAABBAjlThM
Deleted user    (2023-12-12 15:07:43)
The student will be able to allow peers to guide a coordinated play (follow directions from peers).</t>
      </text>
    </comment>
    <comment authorId="0" ref="N108">
      <text>
        <t xml:space="preserve">======
ID#AAABBAjlThI
Deleted user    (2023-12-12 15:07:01)
4 = can independently perform at least three ball actions with a peer for up to 5 exchanges (i.e., watches for ball to be thrown, observes partner being ready to receive).</t>
      </text>
    </comment>
    <comment authorId="0" ref="M108">
      <text>
        <t xml:space="preserve">======
ID#AAABBAjlThE
Deleted user    (2023-12-12 15:06:40)
3 = can independently perform 2 ball actions for at least 3 exchanges</t>
      </text>
    </comment>
    <comment authorId="0" ref="L108">
      <text>
        <t xml:space="preserve">======
ID#AAABBAjlThA
Deleted user    (2023-12-12 15:06:30)
2 = can perform 1 action if given only occasional prompts to watch to see if peer is ready OR to attend to peer about to perform the action</t>
      </text>
    </comment>
    <comment authorId="0" ref="K108">
      <text>
        <t xml:space="preserve">======
ID#AAABBAjlTg8
Deleted user    (2023-12-12 15:06:16)
1 = can perform 1 action but requires occasional prompts to look to see if peer is ready AND to attend to peer about to perform the action</t>
      </text>
    </comment>
    <comment authorId="0" ref="O108">
      <text>
        <t xml:space="preserve">======
ID#AAABBAjlTg4
Deleted user    (2023-12-12 15:06:07)
The student will be able to independently play simple games involving rolling, throwing, kicking and bouncing a ball to a peer for at least 5 exchanges.</t>
      </text>
    </comment>
    <comment authorId="0" ref="N109">
      <text>
        <t xml:space="preserve">======
ID#AAABBAjlTg0
Deleted user    (2023-12-12 15:04:30)
4 = while playing with a peer, engages in at least 10 verbal responses to the peer in a 10 minute period</t>
      </text>
    </comment>
    <comment authorId="0" ref="M109">
      <text>
        <t xml:space="preserve">======
ID#AAABBAjlTgw
Deleted user    (2023-12-12 15:04:08)
3 = 5 verbal responses in 10 minutes</t>
      </text>
    </comment>
    <comment authorId="0" ref="L109">
      <text>
        <t xml:space="preserve">======
ID#AAABBATXdNE
Deleted user    (2023-12-12 15:04:00)
2 = 2 verbal responses in 10 minutes</t>
      </text>
    </comment>
    <comment authorId="0" ref="K109">
      <text>
        <t xml:space="preserve">======
ID#AAABBATXdNA
Deleted user    (2023-12-12 15:03:53)
1 = 1 verbal response in a 10 minute period</t>
      </text>
    </comment>
    <comment authorId="0" ref="O109">
      <text>
        <t xml:space="preserve">======
ID#AAABBATXdM8
Deleted user    (2023-12-12 15:03:45)
The student will ask for items and actions, label items and actions, and make other related comments while engaging in play activities.</t>
      </text>
    </comment>
    <comment authorId="0" ref="N110">
      <text>
        <t xml:space="preserve">======
ID#AAABBATXdM4
Deleted user    (2023-12-12 15:03:34)
4 = can pretend to be at least 10 characters or pretend to do activities</t>
      </text>
    </comment>
    <comment authorId="0" ref="M110">
      <text>
        <t xml:space="preserve">======
ID#AAABBATXdM0
Deleted user    (2023-12-12 15:03:26)
3 = at least 5 characters or activities</t>
      </text>
    </comment>
    <comment authorId="0" ref="L110">
      <text>
        <t xml:space="preserve">======
ID#AAABBATXdMw
Deleted user    (2023-12-12 15:03:18)
2 = at least 2 characters or activities</t>
      </text>
    </comment>
    <comment authorId="0" ref="K110">
      <text>
        <t xml:space="preserve">======
ID#AAABBATXdMs
Deleted user    (2023-12-12 15:03:11)
1 = at least 1 character or activity</t>
      </text>
    </comment>
    <comment authorId="0" ref="O110">
      <text>
        <t xml:space="preserve">======
ID#AAABBATXdMo
Deleted user    (2023-12-12 15:03:02)
The student will act out roles of characters or activities while playing.</t>
      </text>
    </comment>
    <comment authorId="0" ref="N111">
      <text>
        <t xml:space="preserve">======
ID#AAABBATXdMk
Deleted user    (2023-12-12 15:02:53)
4 = interactively plays with at least
8 different peers (individual or group interactions)</t>
      </text>
    </comment>
    <comment authorId="0" ref="M111">
      <text>
        <t xml:space="preserve">======
ID#AAABBATXdMg
Deleted user    (2023-12-12 15:02:41)
3 = interactively plays with at least 6 different peers</t>
      </text>
    </comment>
    <comment authorId="0" ref="L111">
      <text>
        <t xml:space="preserve">======
ID#AAABBATXdMc
Deleted user    (2023-12-12 15:01:36)
2 = interactively plays with at least 4 different peers</t>
      </text>
    </comment>
    <comment authorId="0" ref="K111">
      <text>
        <t xml:space="preserve">======
ID#AAABBATXdMY
Deleted user    (2023-12-12 15:01:29)
1 = interactively plays with at least 2 different peers (individual or group interactions)</t>
      </text>
    </comment>
    <comment authorId="0" ref="O111">
      <text>
        <t xml:space="preserve">======
ID#AAABBATXdMU
Deleted user    (2023-12-12 15:01:20)
The student will engage in interactive play activities with a variety of peers.</t>
      </text>
    </comment>
    <comment authorId="0" ref="N112">
      <text>
        <t xml:space="preserve">======
ID#AAABBATXdMQ
Deleted user    (2023-12-12 15:01:05)
4 = mutually interacts with other students and toys for up to 10 minutes (requests included)</t>
      </text>
    </comment>
    <comment authorId="0" ref="M112">
      <text>
        <t xml:space="preserve">======
ID#AAABBATXdMM
Deleted user    (2023-12-12 15:00:48)
3 = mutually interacts with other students and toys for up to 5 minutes (requests included)</t>
      </text>
    </comment>
    <comment authorId="0" ref="L112">
      <text>
        <t xml:space="preserve">======
ID#AAABBATXdMI
Deleted user    (2023-12-12 15:00:38)
2 = gives other students toys when they request them, and accepts offered toys from other students</t>
      </text>
    </comment>
    <comment authorId="0" ref="K112">
      <text>
        <t xml:space="preserve">======
ID#AAABBATXdME
Deleted user    (2023-12-12 15:00:32)
1 = accepts offered toys from other students</t>
      </text>
    </comment>
    <comment authorId="0" ref="O112">
      <text>
        <t xml:space="preserve">======
ID#AAABBATXdMA
Deleted user    (2023-12-12 15:00:25)
The student will engage in interactive play activities with other students.</t>
      </text>
    </comment>
    <comment authorId="0" ref="N113">
      <text>
        <t xml:space="preserve">======
ID#AAABBATXdL8
Deleted user    (2023-12-12 14:59:54)
4 = spontaneously does at least 5 activities with 5 different toys</t>
      </text>
    </comment>
    <comment authorId="0" ref="M113">
      <text>
        <t xml:space="preserve">======
ID#AAABBATXdL4
Deleted user    (2023-12-12 14:59:45)
3 = at least 5 activities for 2 toys</t>
      </text>
    </comment>
    <comment authorId="0" ref="L113">
      <text>
        <t xml:space="preserve">======
ID#AAABBATXdL0
Deleted user    (2023-12-12 14:59:38)
2 = at least 5 related activities with one toy</t>
      </text>
    </comment>
    <comment authorId="0" ref="K113">
      <text>
        <t xml:space="preserve">======
ID#AAABBATXdLw
Deleted user    (2023-12-12 14:59:31)
1 = spontaneously does at least 2 related activities with one toy</t>
      </text>
    </comment>
    <comment authorId="0" ref="O113">
      <text>
        <t xml:space="preserve">======
ID#AAABBATXdLs
Deleted user    (2023-12-12 14:59:21)
The student will play with toys
consistent with an identifiable theme (e.g., cooking implements, dolls, action figures).</t>
      </text>
    </comment>
    <comment authorId="0" ref="N114">
      <text>
        <t xml:space="preserve">======
ID#AAABBATXdLo
Deleted user    (2023-12-12 14:58:55)
4 = while playing independently, engages in at least 10 verbal responses in a 20 minute period</t>
      </text>
    </comment>
    <comment authorId="0" ref="M114">
      <text>
        <t xml:space="preserve">======
ID#AAABBATXdLk
Deleted user    (2023-12-12 14:58:44)
3 = 5 verbal responses</t>
      </text>
    </comment>
    <comment authorId="0" ref="L114">
      <text>
        <t xml:space="preserve">======
ID#AAABBATXdLg
Deleted user    (2023-12-12 14:58:39)
2 = 2 verbal reponses</t>
      </text>
    </comment>
    <comment authorId="0" ref="K114">
      <text>
        <t xml:space="preserve">======
ID#AAABBATXdLc
Deleted user    (2023-12-12 14:58:29)
1 = 1 verbal response in a 20 minute period</t>
      </text>
    </comment>
    <comment authorId="0" ref="O114">
      <text>
        <t xml:space="preserve">======
ID#AAABBATXdLY
Deleted user    (2023-12-12 14:58:21)
The student will talk while engaging in independent play activities.</t>
      </text>
    </comment>
    <comment authorId="0" ref="M115">
      <text>
        <t xml:space="preserve">======
ID#AAABBATXdLU
Deleted user    (2023-12-12 14:58:07)
2 = plays with at least two toys as designed without prompts for up to 10 minutes</t>
      </text>
    </comment>
    <comment authorId="0" ref="K115">
      <text>
        <t xml:space="preserve">======
ID#AAABBATXdLQ
Deleted user    (2023-12-12 14:57:57)
1 = plays with at least one toy as designed for up to 10 minutes with occasional prompts</t>
      </text>
    </comment>
    <comment authorId="0" ref="O115">
      <text>
        <t xml:space="preserve">======
ID#AAABBATXdLM
Deleted user    (2023-12-12 14:57:40)
The student will actively play with toys as designed.</t>
      </text>
    </comment>
    <comment authorId="0" ref="N116">
      <text>
        <t xml:space="preserve">======
ID#AAABBATXdLI
Deleted user    (2023-12-12 14:57:28)
4 = selects and engages in at least 3 activities for at least 15 minutes</t>
      </text>
    </comment>
    <comment authorId="0" ref="M116">
      <text>
        <t xml:space="preserve">======
ID#AAABBATXdLE
Deleted user    (2023-12-12 14:57:20)
3 = 3 activities for 10 minutes</t>
      </text>
    </comment>
    <comment authorId="0" ref="L116">
      <text>
        <t xml:space="preserve">======
ID#AAABBATXdLA
Deleted user    (2023-12-12 14:57:15)
2 = 2 activities for 10 minutes</t>
      </text>
    </comment>
    <comment authorId="0" ref="K116">
      <text>
        <t xml:space="preserve">======
ID#AAABBATXdK8
Deleted user    (2023-12-12 14:57:06)
1 = 2 activities for 5 minutes</t>
      </text>
    </comment>
    <comment authorId="0" ref="O116">
      <text>
        <t xml:space="preserve">======
ID#AAABBATXdK4
Deleted user    (2023-12-12 14:56:48)
The student will be able to engage in appropriate independent indoor leisure activities.</t>
      </text>
    </comment>
    <comment authorId="0" ref="N117">
      <text>
        <t xml:space="preserve">======
ID#AAABBATXdK0
Deleted user    (2023-12-12 14:56:37)
4 = selects and engages in at least 3 activities for at least 15 minutes</t>
      </text>
    </comment>
    <comment authorId="0" ref="M117">
      <text>
        <t xml:space="preserve">======
ID#AAABBATXdKw
Deleted user    (2023-12-12 14:56:16)
3 = 3 activities for 10 minutes</t>
      </text>
    </comment>
    <comment authorId="0" ref="L117">
      <text>
        <t xml:space="preserve">======
ID#AAABBATXdKs
Deleted user    (2023-12-12 14:56:02)
2 = 2 activities for 10 minutes</t>
      </text>
    </comment>
    <comment authorId="0" ref="K117">
      <text>
        <t xml:space="preserve">======
ID#AAABBATXdKo
Deleted user    (2023-12-12 14:55:55)
1 = 2 activities for 5 minutes</t>
      </text>
    </comment>
    <comment authorId="0" ref="O117">
      <text>
        <t xml:space="preserve">======
ID#AAABBATXdKk
Deleted user    (2023-12-12 14:55:43)
The student will be able to engage in appropriate independent outdoor activities.</t>
      </text>
    </comment>
    <comment authorId="0" ref="M118">
      <text>
        <t xml:space="preserve">======
ID#AAABBATXdKg
Deleted user    (2023-12-12 14:55:36)
2 = allows other students or adults to occasionally manipulate toys that they are using</t>
      </text>
    </comment>
    <comment authorId="0" ref="K118">
      <text>
        <t xml:space="preserve">======
ID#AAABBATXdKc
Deleted user    (2023-12-12 14:55:26)
1 = allows other students to be near them when playing with a toy</t>
      </text>
    </comment>
    <comment authorId="0" ref="O118">
      <text>
        <t xml:space="preserve">======
ID#AAABBATXdKY
Deleted user    (2023-12-12 14:55:17)
The student will be able to allow adults and children to be near them while they are playing with toys and allow others to occasionally manipulate the toys during the interaction.</t>
      </text>
    </comment>
    <comment authorId="0" ref="M119">
      <text>
        <t xml:space="preserve">======
ID#AAABBATXdKU
Deleted user    (2023-12-12 14:54:23)
2 = manipulates a toy or toys for at least 2 of a 10 minute period</t>
      </text>
    </comment>
    <comment authorId="0" ref="K119">
      <text>
        <t xml:space="preserve">======
ID#AAABBATXdKQ
Deleted user    (2023-12-12 14:54:16)
1 = picks up and/or manipulates at least 1 toy in a ten minute period</t>
      </text>
    </comment>
    <comment authorId="0" ref="O119">
      <text>
        <t xml:space="preserve">======
ID#AAABBATXdKM
Deleted user    (2023-12-12 14:54:01)
The student will actively explore a variety of toys in the environment.</t>
      </text>
    </comment>
    <comment authorId="0" ref="G100">
      <text>
        <t xml:space="preserve">======
ID#AAABBATXdKI
Deleted user    (2023-12-12 14:51:46)
2 = uses words to indicate the emotional state associated with making a statement most of the time when appropriate</t>
      </text>
    </comment>
    <comment authorId="0" ref="E100">
      <text>
        <t xml:space="preserve">======
ID#AAABBATXdKE
Deleted user    (2023-12-12 14:51:34)
1 = occasionally uses words to indicate the emotional state associated with making a statement</t>
      </text>
    </comment>
    <comment authorId="0" ref="I100">
      <text>
        <t xml:space="preserve">======
ID#AAABBATXdKA
Deleted user    (2023-12-12 14:51:25)
Student will use words or phrases to describe an emotional state related to a statement (e.g., I regret to inform you.., I'm sorry, but.. I'm happy to say...).</t>
      </text>
    </comment>
    <comment authorId="0" ref="G101">
      <text>
        <t xml:space="preserve">======
ID#AAABBATXdJ8
Deleted user    (2023-12-12 14:51:00)
2 = uses words to indicate the quantification in a statement most of the time when appropriate</t>
      </text>
    </comment>
    <comment authorId="0" ref="E101">
      <text>
        <t xml:space="preserve">======
ID#AAABBATXdJ4
Deleted user    (2023-12-12 14:50:43)
1 = occasionally uses words to indicate quantification in a statement</t>
      </text>
    </comment>
    <comment authorId="0" ref="I101">
      <text>
        <t xml:space="preserve">======
ID#AAABBATXdJ0
Deleted user    (2023-12-12 14:50:33)
Student will use words or phrases to quantify a verbal response (e.g., all, some, sometimes, never, a, the, always).</t>
      </text>
    </comment>
    <comment authorId="0" ref="G102">
      <text>
        <t xml:space="preserve">======
ID#AAABBATXdJw
Deleted user    (2023-12-12 14:50:23)
2 = uses words to indicate the certainty of a statement most of the time when appropriate</t>
      </text>
    </comment>
    <comment authorId="0" ref="E102">
      <text>
        <t xml:space="preserve">======
ID#AAABBATXdJs
Deleted user    (2023-12-12 14:50:15)
1 = occasionally uses words to indicate the certainty of a statement</t>
      </text>
    </comment>
    <comment authorId="0" ref="I102">
      <text>
        <t xml:space="preserve">======
ID#AAABBATXdJo
Deleted user    (2023-12-12 14:50:00)
Student will use words or phrases to describe his certainty of his responses (e.g., I think, ...guess, ... know, ...believe).</t>
      </text>
    </comment>
    <comment authorId="0" ref="G103">
      <text>
        <t xml:space="preserve">======
ID#AAABBATXdJk
Deleted user    (2023-12-12 14:49:47)
2 = uses words such as "this,"
"that," "these," or "those" to specify specific items most of the time</t>
      </text>
    </comment>
    <comment authorId="0" ref="E103">
      <text>
        <t xml:space="preserve">======
ID#AAABBATXdJg
Deleted user    (2023-12-12 14:49:36)
1 = occasionally uses words to specify specific items</t>
      </text>
    </comment>
    <comment authorId="0" ref="I103">
      <text>
        <t xml:space="preserve">======
ID#AAABBATXdJc
Deleted user    (2023-12-12 14:49:29)
The student will be able to indicate specific items (e.g., this, that, these, those) when speaking in phrases or sentences.</t>
      </text>
    </comment>
    <comment authorId="0" ref="G104">
      <text>
        <t xml:space="preserve">======
ID#AAABBATXdJY
Deleted user    (2023-12-12 14:49:14)
2 = adds "er" or "est" to words to indicate comparison most of the time when appropriate</t>
      </text>
    </comment>
    <comment authorId="0" ref="E104">
      <text>
        <t xml:space="preserve">======
ID#AAABBATXdJU
Deleted user    (2023-12-12 14:49:01)
1 = occasionally adds "er" or "est" to words to indicate comparison when appropriate</t>
      </text>
    </comment>
    <comment authorId="0" ref="I104">
      <text>
        <t xml:space="preserve">======
ID#AAABBATXdJQ
Deleted user    (2023-12-12 14:48:51)
The student will be able to add suffixes to words to indicate comparisons (e.g., ...er as in bigger, ...est as in biggest).</t>
      </text>
    </comment>
    <comment authorId="0" ref="G105">
      <text>
        <t xml:space="preserve">======
ID#AAABBATXdJM
Deleted user    (2023-12-12 14:48:32)
2 = uses correct irregular plurals most of the time</t>
      </text>
    </comment>
    <comment authorId="0" ref="E105">
      <text>
        <t xml:space="preserve">======
ID#AAABBATXdJI
Deleted user    (2023-12-12 14:48:25)
1 = occasionally uses correct irregular plurals</t>
      </text>
    </comment>
    <comment authorId="0" ref="I105">
      <text>
        <t xml:space="preserve">======
ID#AAABBATXdJE
Deleted user    (2023-12-12 14:48:12)
The student will be able to use irregular plurals (e.g., mouse-mice, foot-feet, goose-geese).</t>
      </text>
    </comment>
    <comment authorId="0" ref="G106">
      <text>
        <t xml:space="preserve">======
ID#AAABBATXdJA
Deleted user    (2023-12-12 14:46:47)
2 = uses conjunctions most of the time when appropriate</t>
      </text>
    </comment>
    <comment authorId="0" ref="E106">
      <text>
        <t xml:space="preserve">======
ID#AAABBATXdI8
Deleted user    (2023-12-12 14:46:37)
1 = occasionally uses conjunctions when appropriate</t>
      </text>
    </comment>
    <comment authorId="0" ref="I106">
      <text>
        <t xml:space="preserve">======
ID#AAABBATXdI4
Deleted user    (2023-12-12 14:46:25)
The student will use conjunctions to combine words and phrases (e.g., and, but, if, given, nor, or, because, then, only).</t>
      </text>
    </comment>
    <comment authorId="0" ref="G107">
      <text>
        <t xml:space="preserve">======
ID#AAABBATXdI0
Deleted user    (2023-12-12 14:46:15)
2 = indicates future tense most of the time when appropriate</t>
      </text>
    </comment>
    <comment authorId="0" ref="E107">
      <text>
        <t xml:space="preserve">======
ID#AAABBATXdIw
Deleted user    (2023-12-12 14:46:03)
1 = occasionally indicates future
tense when appropriate</t>
      </text>
    </comment>
    <comment authorId="0" ref="I107">
      <text>
        <t xml:space="preserve">======
ID#AAABBATXdIs
Deleted user    (2023-12-12 14:45:57)
The student will be able to indicate future tense (e.g., I will go home) when speaking in phrases or sentences.</t>
      </text>
    </comment>
    <comment authorId="0" ref="G108">
      <text>
        <t xml:space="preserve">======
ID#AAABBATXdIo
Deleted user    (2023-12-12 14:45:49)
2 = indicates location most of the time when appropriate</t>
      </text>
    </comment>
    <comment authorId="0" ref="E108">
      <text>
        <t xml:space="preserve">======
ID#AAABBATXdIk
Deleted user    (2023-12-12 14:45:43)
1 = occasionally indicates location when appropriate</t>
      </text>
    </comment>
    <comment authorId="0" ref="I108">
      <text>
        <t xml:space="preserve">======
ID#AAABBATXdIg
Deleted user    (2023-12-12 14:45:36)
The student will be able to indicate location (e.g., here, there) when speaking in phrases or sentences.</t>
      </text>
    </comment>
    <comment authorId="0" ref="G109">
      <text>
        <t xml:space="preserve">======
ID#AAABBATXdIc
Deleted user    (2023-12-12 14:45:27)
2 = indicates negation most of the time when appropriate</t>
      </text>
    </comment>
    <comment authorId="0" ref="E109">
      <text>
        <t xml:space="preserve">======
ID#AAABBATXdIY
Deleted user    (2023-12-12 14:45:21)
1 = occasionally indicates negation when appropriate</t>
      </text>
    </comment>
    <comment authorId="0" ref="I109">
      <text>
        <t xml:space="preserve">======
ID#AAABBATXdIU
Deleted user    (2023-12-12 14:45:09)
The student will be able to indicate negation (e.g., didn't, won't, doesn't, isn't, not, no more, all gone) when speaking in phrases or sentences.</t>
      </text>
    </comment>
    <comment authorId="0" ref="G110">
      <text>
        <t xml:space="preserve">======
ID#AAABBATXdIQ
Deleted user    (2023-12-12 14:44:53)
2 = adds "s" to nouns or pronouns
to indicate possession most of the time when appropriate</t>
      </text>
    </comment>
    <comment authorId="0" ref="E110">
      <text>
        <t xml:space="preserve">======
ID#AAABBATXdIM
Deleted user    (2023-12-12 14:44:46)
1 = occasionally adds "s" to nouns or pronouns to indicate possession when appropriate</t>
      </text>
    </comment>
    <comment authorId="0" ref="I110">
      <text>
        <t xml:space="preserve">======
ID#AAABBATXdII
Deleted user    (2023-12-12 14:44:39)
The student will be able to
indicate possession by adding "s" to nouns and pronouns (e.g., yours, theirs, daddy's hat).</t>
      </text>
    </comment>
    <comment authorId="0" ref="G111">
      <text>
        <t xml:space="preserve">======
ID#AAABBATXdIE
Deleted user    (2023-12-12 14:44:21)
2 = adds "d," or "ed" to verbs to indicate regular past tense most of the time when appropriate</t>
      </text>
    </comment>
    <comment authorId="0" ref="E111">
      <text>
        <t xml:space="preserve">======
ID#AAABBATXdIA
Deleted user    (2023-12-12 14:44:15)
1 = occasionally adds "d," or "ed" to verbs to indicate regular past tense when appropriate</t>
      </text>
    </comment>
    <comment authorId="0" ref="I111">
      <text>
        <t xml:space="preserve">======
ID#AAABBATXdH8
Deleted user    (2023-12-12 14:44:04)
The student will be able to indicate regular past tense by adding "d," or "ed" (e.g., hiked, jumped).</t>
      </text>
    </comment>
    <comment authorId="0" ref="G112">
      <text>
        <t xml:space="preserve">======
ID#AAABBATXdH4
Deleted user    (2023-12-12 14:43:56)
2 = uses "am" or "is" with verbs to indicate present tense most of the time when appropriate</t>
      </text>
    </comment>
    <comment authorId="0" ref="E112">
      <text>
        <t xml:space="preserve">======
ID#AAABBATXdH0
Deleted user    (2023-12-12 14:43:45)
1 = occasionally uses "am" or "is" with verbs to indicate present tense when appropriate</t>
      </text>
    </comment>
    <comment authorId="0" ref="I112">
      <text>
        <t xml:space="preserve">======
ID#AAABBATXdHw
Deleted user    (2023-12-12 14:43:36)
The student will be able to indicate present tense by combining "am" and "is" with verbs (e.g., am writing, is jumping) when speaking in phrases or sentences.</t>
      </text>
    </comment>
    <comment authorId="0" ref="G113">
      <text>
        <t xml:space="preserve">======
ID#AAABBATXdHs
Deleted user    (2023-12-12 14:42:55)
2 = uses contractions most of the time when appropriate</t>
      </text>
    </comment>
    <comment authorId="0" ref="E113">
      <text>
        <t xml:space="preserve">======
ID#AAABBATXdHo
Deleted user    (2023-12-12 14:42:38)
1 = occasionally uses contractions when appropriate</t>
      </text>
    </comment>
    <comment authorId="0" ref="I113">
      <text>
        <t xml:space="preserve">======
ID#AAABBATXdHk
Deleted user    (2023-12-12 14:42:29)
The student will be able to use contractions (e.g., can't, won't, didn't) when speaking in phrases or sentences.</t>
      </text>
    </comment>
    <comment authorId="0" ref="G114">
      <text>
        <t xml:space="preserve">======
ID#AAABBATXdHg
Deleted user    (2023-12-12 14:42:19)
2 = uses correct irregular past tense most of the time</t>
      </text>
    </comment>
    <comment authorId="0" ref="E114">
      <text>
        <t xml:space="preserve">======
ID#AAABA_1_dUQ
Deleted user    (2023-12-12 14:41:09)
1 = occasionally uses correct irregular past tense</t>
      </text>
    </comment>
    <comment authorId="0" ref="I114">
      <text>
        <t xml:space="preserve">======
ID#AAABA_1_dUM
Deleted user    (2023-12-12 14:40:44)
The student will be able to indicate past tense by changing the form of verbs (e.g., swim-swam, run-ran,
sing-sang, fall-fell, sleep-slept, break-broke, keep-kept).</t>
      </text>
    </comment>
    <comment authorId="0" ref="G115">
      <text>
        <t xml:space="preserve">======
ID#AAABA_1_dUI
Deleted user    (2023-12-12 14:40:02)
2 = adds "s" to the end of words
most of the time when appropriate</t>
      </text>
    </comment>
    <comment authorId="0" ref="E115">
      <text>
        <t xml:space="preserve">======
ID#AAABA_1_dUE
Deleted user    (2023-12-12 14:39:48)
1 = occasionally adds "s" to the end of words when appropriate</t>
      </text>
    </comment>
    <comment authorId="0" ref="I115">
      <text>
        <t xml:space="preserve">======
ID#AAABA_1_dUA
Deleted user    (2023-12-12 14:39:37)
The student will add an "s" (or "es") sound at the end of words to indicate plurals (e.g., shoes, glasses).</t>
      </text>
    </comment>
    <comment authorId="0" ref="G116">
      <text>
        <t xml:space="preserve">======
ID#AAABA_1_dT8
Deleted user    (2023-12-12 14:39:06)
2 = adds "ing" to the end of verbs most of the time when appropriate</t>
      </text>
    </comment>
    <comment authorId="0" ref="E116">
      <text>
        <t xml:space="preserve">======
ID#AAABA_1_dT4
Deleted user    (2023-12-12 14:38:48)
1 = occasionally adds "ing" to the end of verbs when appropriate</t>
      </text>
    </comment>
    <comment authorId="0" ref="I116">
      <text>
        <t xml:space="preserve">======
ID#AAABA_1_dT0
Deleted user    (2023-12-12 14:38:37)
The student will be able to indicate regular present tense by adding "ing" to the end of verbs (e.g., running, jumping).</t>
      </text>
    </comment>
    <comment authorId="0" ref="G117">
      <text>
        <t xml:space="preserve">======
ID#AAABA_1_dTw
Deleted user    (2023-12-12 14:38:03)
2 = uses articles most of the time when appropriate</t>
      </text>
    </comment>
    <comment authorId="0" ref="E117">
      <text>
        <t xml:space="preserve">======
ID#AAABA_1_dTs
Deleted user    (2023-12-12 14:37:50)
1 = occasionally uses articles when appropriate</t>
      </text>
    </comment>
    <comment authorId="0" ref="I117">
      <text>
        <t xml:space="preserve">======
ID#AAABA_1_dTo
Deleted user    (2023-12-12 14:37:38)
The student will be able to include articles (e.g., a, an, the) when speaking in phrases or sentences.</t>
      </text>
    </comment>
    <comment authorId="0" ref="H118">
      <text>
        <t xml:space="preserve">======
ID#AAABA_1_dTk
Deleted user    (2023-12-12 14:37:11)
4 = 4 or more sentences usually in correct order</t>
      </text>
    </comment>
    <comment authorId="0" ref="G118">
      <text>
        <t xml:space="preserve">======
ID#AAABA_1_dTg
Deleted user    (2023-12-12 14:36:47)
3 = sometimes 4 word sentences in correct order</t>
      </text>
    </comment>
    <comment authorId="0" ref="F118">
      <text>
        <t xml:space="preserve">======
ID#AAABA_1_dTc
Deleted user    (2023-12-12 14:36:34)
2 = sometimes 3 word sentences in correct order</t>
      </text>
    </comment>
    <comment authorId="0" ref="E118">
      <text>
        <t xml:space="preserve">======
ID#AAABA_1_dTY
Deleted user    (2023-12-12 14:36:26)
1 = sometimes 2 word phrases in correct order</t>
      </text>
    </comment>
    <comment authorId="0" ref="I118">
      <text>
        <t xml:space="preserve">======
ID#AAABA_1_dTU
Deleted user    (2023-12-12 14:36:11)
The student will be able to combine words in phrases or sentences using correct word order (e.g., adverb + noun, adjective + noun, noun + verb).</t>
      </text>
    </comment>
    <comment authorId="0" ref="H119">
      <text>
        <t xml:space="preserve">======
ID#AAABA_1_dTQ
Deleted user    (2023-12-12 14:35:55)
4 = 5 or more word phrases or sentences</t>
      </text>
    </comment>
    <comment authorId="0" ref="G119">
      <text>
        <t xml:space="preserve">======
ID#AAABA_1_dTM
Deleted user    (2023-12-12 14:35:49)
3 = 4 word phrases or sentences</t>
      </text>
    </comment>
    <comment authorId="0" ref="F119">
      <text>
        <t xml:space="preserve">======
ID#AAABA_1_dTI
Deleted user    (2023-12-12 14:35:44)
2 = 3 word phrases or sentences</t>
      </text>
    </comment>
    <comment authorId="0" ref="E119">
      <text>
        <t xml:space="preserve">======
ID#AAABA_1_dTE
Deleted user    (2023-12-12 14:35:32)
1  = 2 word phrases or sentences</t>
      </text>
    </comment>
    <comment authorId="0" ref="I119">
      <text>
        <t xml:space="preserve">======
ID#AAABA_1_dTA
Deleted user    (2023-12-12 14:35:14)
The student will be able to speak in phrases or sentences of up to at least five words.</t>
      </text>
    </comment>
    <comment authorId="0" ref="BC51">
      <text>
        <t xml:space="preserve">======
ID#AAABAnjNoRw
Deleted user    (2023-12-06 23:51:01)
2 = spontaneously adds or makes related comments during an ongoing conversation or discussion at least 10 times per day</t>
      </text>
    </comment>
    <comment authorId="0" ref="BA51">
      <text>
        <t xml:space="preserve">======
ID#AAABAnjNoRs
Deleted user    (2023-12-06 23:50:43)
1 = spontaneously adds or makes related comments during an ongoing conversation or discussion at least 10 times per week</t>
      </text>
    </comment>
    <comment authorId="0" ref="BE51">
      <text>
        <t xml:space="preserve">======
ID#AAABAnjNoRo
Deleted user    (2023-12-06 23:50:34)
The student will spontaneously add or make appropriate related comments during an ongoing conversation or discussion.</t>
      </text>
    </comment>
    <comment authorId="0" ref="BC52">
      <text>
        <t xml:space="preserve">======
ID#AAABAnjNoRk
Deleted user    (2023-12-06 23:50:17)
2 = spontaneously labels items, actions, or events at least 10 times per day</t>
      </text>
    </comment>
    <comment authorId="0" ref="BA52">
      <text>
        <t xml:space="preserve">======
ID#AAABAnjNoRg
Deleted user    (2023-12-06 23:50:09)
1 = spontaneously labels items, actions, or events at least 10 times per week</t>
      </text>
    </comment>
    <comment authorId="0" ref="BE52">
      <text>
        <t xml:space="preserve">======
ID#AAABAnjNoRc
Deleted user    (2023-12-06 23:50:01)
The student will spontaneously label items, actions, or events.</t>
      </text>
    </comment>
    <comment authorId="0" ref="BC53">
      <text>
        <t xml:space="preserve">======
ID#AAABAnjNoRY
Deleted user    (2023-12-06 23:49:55)
2 = spontaneously requests at least 10 items or actions per day</t>
      </text>
    </comment>
    <comment authorId="0" ref="BA53">
      <text>
        <t xml:space="preserve">======
ID#AAABAnjNoRU
Deleted user    (2023-12-06 23:49:50)
1 = spontaneously requests at least 10 items or actions per week</t>
      </text>
    </comment>
    <comment authorId="0" ref="BE53">
      <text>
        <t xml:space="preserve">======
ID#AAABAnjNoRQ
Deleted user    (2023-12-06 23:49:41)
The student will spontaneously request items, actions or activities.</t>
      </text>
    </comment>
    <comment authorId="0" ref="BC54">
      <text>
        <t xml:space="preserve">======
ID#AAABAnjNoRM
Deleted user    (2023-12-06 23:49:18)
2 = spontaneously repeats words said by others at least 5 times per day</t>
      </text>
    </comment>
    <comment authorId="0" ref="BA54">
      <text>
        <t xml:space="preserve">======
ID#AAABAnjNoRI
Deleted user    (2023-12-06 23:49:11)
1 = spontaneously repeats words said by others at least 5 times per week</t>
      </text>
    </comment>
    <comment authorId="0" ref="BE54">
      <text>
        <t xml:space="preserve">======
ID#AAABAnjNoRE
Deleted user    (2023-12-06 23:49:02)
The student will spontaneously repeat words said by others.</t>
      </text>
    </comment>
    <comment authorId="0" ref="BD55">
      <text>
        <t xml:space="preserve">======
ID#AAABAnjNoRA
Deleted user    (2023-12-06 23:48:55)
4 = sings at least 2 phrases from each of 5 songs</t>
      </text>
    </comment>
    <comment authorId="0" ref="BC55">
      <text>
        <t xml:space="preserve">======
ID#AAABAnjNoQ8
Deleted user    (2023-12-06 23:48:49)
3 = sings 1 phrase from each of 5 songs</t>
      </text>
    </comment>
    <comment authorId="0" ref="BB55">
      <text>
        <t xml:space="preserve">======
ID#AAABAnjNoQ4
Deleted user    (2023-12-06 23:48:44)
2 = sings 1 phrase from 2 songs</t>
      </text>
    </comment>
    <comment authorId="0" ref="BA55">
      <text>
        <t xml:space="preserve">======
ID#AAABAnjNoQ0
Deleted user    (2023-12-06 23:48:38)
1 = sings 1 word from 1 song</t>
      </text>
    </comment>
    <comment authorId="0" ref="BE55">
      <text>
        <t xml:space="preserve">======
ID#AAABAnjNoQw
Deleted user    (2023-12-06 23:48:24)
The student will spontaneously sing songs without models.</t>
      </text>
    </comment>
    <comment authorId="0" ref="BD56">
      <text>
        <t xml:space="preserve">======
ID#AAABAnjNoQs
Deleted user    (2023-12-06 23:48:17)
4 = sings at least 2 phrases from each of 5 songs</t>
      </text>
    </comment>
    <comment authorId="0" ref="BC56">
      <text>
        <t xml:space="preserve">======
ID#AAABAnjNoQo
Deleted user    (2023-12-06 23:48:12)
3 = sings 1 phrase from each of 5 songs</t>
      </text>
    </comment>
    <comment authorId="0" ref="BB56">
      <text>
        <t xml:space="preserve">======
ID#AAABAnjNoQk
Deleted user    (2023-12-06 23:48:06)
2 = sings 1 phrase from 2 songs</t>
      </text>
    </comment>
    <comment authorId="0" ref="BA56">
      <text>
        <t xml:space="preserve">======
ID#AAABAnjNoQg
Deleted user    (2023-12-06 23:47:54)
1 = sings 1 word from 1 song</t>
      </text>
    </comment>
    <comment authorId="0" ref="BE56">
      <text>
        <t xml:space="preserve">======
ID#AAABAnjNoQc
Deleted user    (2023-12-06 23:47:48)
The student will spontaneously sing songs while others are singing, while watching videos or listening to other sources.</t>
      </text>
    </comment>
    <comment authorId="0" ref="BD57">
      <text>
        <t xml:space="preserve">======
ID#AAABAnjNoQY
Deleted user    (2023-12-06 23:47:42)
4 = spontaneously says an average of at least 30 phrases per day (including at least 5 different words)</t>
      </text>
    </comment>
    <comment authorId="0" ref="BC57">
      <text>
        <t xml:space="preserve">======
ID#AAABAnjNoQU
Deleted user    (2023-12-06 23:47:29)
3 = average of 10 phrases per day</t>
      </text>
    </comment>
    <comment authorId="0" ref="BB57">
      <text>
        <t xml:space="preserve">======
ID#AAABAnjNoQQ
Deleted user    (2023-12-06 23:47:22)
2 = an average of at least 5 phrases per day</t>
      </text>
    </comment>
    <comment authorId="0" ref="BA57">
      <text>
        <t xml:space="preserve">======
ID#AAABAnjNoQM
Deleted user    (2023-12-06 23:47:15)
1 = spontaneously says an average of at least 1 phrase per day</t>
      </text>
    </comment>
    <comment authorId="0" ref="BE57">
      <text>
        <t xml:space="preserve">======
ID#AAABAnjNoQI
Deleted user    (2023-12-06 23:47:09)
The student will spontaneously say a variety of phrases.</t>
      </text>
    </comment>
    <comment authorId="0" ref="BD58">
      <text>
        <t xml:space="preserve">======
ID#AAABAnjNoQE
Deleted user    (2023-12-06 23:46:57)
4 = spontaneously says an average of at least 30 words per hour (including at least 5 different words)</t>
      </text>
    </comment>
    <comment authorId="0" ref="BC58">
      <text>
        <t xml:space="preserve">======
ID#AAABAnjNoQA
Deleted user    (2023-12-06 23:46:49)
3 = average of at least 10 words per hour</t>
      </text>
    </comment>
    <comment authorId="0" ref="BB58">
      <text>
        <t xml:space="preserve">======
ID#AAABAnjNoP8
Deleted user    (2023-12-06 23:46:44)
2 = an average of at least 1 word per hour</t>
      </text>
    </comment>
    <comment authorId="0" ref="BA58">
      <text>
        <t xml:space="preserve">======
ID#AAABAnjNoP4
Deleted user    (2023-12-06 23:46:38)
1 = spontaneously says an average of at least 5 words per day</t>
      </text>
    </comment>
    <comment authorId="0" ref="BE58">
      <text>
        <t xml:space="preserve">======
ID#AAABAnjNoP0
Deleted user    (2023-12-06 23:46:28)
The student will spontaneously say a variety of words or approximations to words.</t>
      </text>
    </comment>
    <comment authorId="0" ref="BD59">
      <text>
        <t xml:space="preserve">======
ID#AAABAnjNoPw
Deleted user    (2023-12-06 23:46:17)
4 = student frequently says words or makes speech sounds totaling at least 10 minutes per hour</t>
      </text>
    </comment>
    <comment authorId="0" ref="BC59">
      <text>
        <t xml:space="preserve">======
ID#AAABAnjNoPs
Deleted user    (2023-12-06 23:45:53)
3 = total 5 minutes per hour</t>
      </text>
    </comment>
    <comment authorId="0" ref="BB59">
      <text>
        <t xml:space="preserve">======
ID#AAABAnjNoPo
Deleted user    (2023-12-06 23:45:46)
2 = total 2 minutes per hour</t>
      </text>
    </comment>
    <comment authorId="0" ref="BA59">
      <text>
        <t xml:space="preserve">======
ID#AAABAnjNoPk
Deleted user    (2023-12-06 23:45:39)
1 = makes speech sounds totaling at least 10 minutes per day</t>
      </text>
    </comment>
    <comment authorId="0" ref="BE59">
      <text>
        <t xml:space="preserve">======
ID#AAABAnjNoPg
Deleted user    (2023-12-06 23:45:31)
The student will make a variety of spontaneous vocalizations which include speech sounds.</t>
      </text>
    </comment>
    <comment authorId="0" ref="AW11">
      <text>
        <t xml:space="preserve">======
ID#AAABAnjNoPc
Deleted user    (2023-12-06 23:44:51)
2 = spontaneously adds or makes related comments during an ongoing conversation or discussion at least 10 times per day</t>
      </text>
    </comment>
    <comment authorId="0" ref="AU11">
      <text>
        <t xml:space="preserve">======
ID#AAABAnjNoPY
Deleted user    (2023-12-06 23:44:37)
1 = spontaneously adds or makes related comments during an ongoing conversation or discussion at least 10 times per week (unprompted)</t>
      </text>
    </comment>
    <comment authorId="0" ref="AY11">
      <text>
        <t xml:space="preserve">======
ID#AAABAnjNoPU
Deleted user    (2023-12-06 23:44:27)
The student will spontaneously add or make appropriate related comments during an ongoing conversation or discussion.</t>
      </text>
    </comment>
    <comment authorId="0" ref="AW12">
      <text>
        <t xml:space="preserve">======
ID#AAABAnjNoPQ
Deleted user    (2023-12-06 23:44:19)
2 = at least five descriptions of
events or stories that contains at least 5 components</t>
      </text>
    </comment>
    <comment authorId="0" ref="AU12">
      <text>
        <t xml:space="preserve">======
ID#AAABAnjNoPM
Deleted user    (2023-12-06 23:44:13)
1 = at least one description an event or story that contains at least 3 components</t>
      </text>
    </comment>
    <comment authorId="0" ref="AY12">
      <text>
        <t xml:space="preserve">======
ID#AAABAnjNoPI
Deleted user    (2023-12-06 23:43:49)
The student will be able to tell a  story or describe an event concerning a single topic relating at least five separate components.</t>
      </text>
    </comment>
    <comment authorId="0" ref="AW13">
      <text>
        <t xml:space="preserve">======
ID#AAABAnjNoPE
Deleted user    (2023-12-06 23:43:41)
2 = provides at least 2 comments for at least 3 topics in a 20 minute discussion</t>
      </text>
    </comment>
    <comment authorId="0" ref="AU13">
      <text>
        <t xml:space="preserve">======
ID#AAABAnjNoPA
Deleted user    (2023-12-06 23:43:35)
1 = provides at least 1 comment for at least 2 topics in a 10 minute discussion</t>
      </text>
    </comment>
    <comment authorId="0" ref="AY13">
      <text>
        <t xml:space="preserve">======
ID#AAABAnjNoO8
Deleted user    (2023-12-06 23:43:26)
The student will be able to provide several answers to questions regarding a variety of topics in a group discussion.</t>
      </text>
    </comment>
    <comment authorId="0" ref="AX14">
      <text>
        <t xml:space="preserve">======
ID#AAABAnjNoO4
Deleted user    (2023-12-06 23:43:19)
4 = 20 categories with 3 responses</t>
      </text>
    </comment>
    <comment authorId="0" ref="AW14">
      <text>
        <t xml:space="preserve">======
ID#AAABAnjNoO0
Deleted user    (2023-12-06 23:43:09)
3 = 10 categories with 3 responses</t>
      </text>
    </comment>
    <comment authorId="0" ref="AV14">
      <text>
        <t xml:space="preserve">======
ID#AAABAnjNoOw
Deleted user    (2023-12-06 23:43:04)
2 = 5 categories with 2 responses</t>
      </text>
    </comment>
    <comment authorId="0" ref="AU14">
      <text>
        <t xml:space="preserve">======
ID#AAABAnjNoOs
Deleted user    (2023-12-06 23:42:49)
1 = 2 categories with 1 or 2 responses</t>
      </text>
    </comment>
    <comment authorId="0" ref="AY14">
      <text>
        <t xml:space="preserve">======
ID#AAABAnjNoOo
Deleted user    (2023-12-06 23:42:31)
The student will be able to provide several answers to questions concerning current events.</t>
      </text>
    </comment>
    <comment authorId="0" ref="AX15">
      <text>
        <t xml:space="preserve">======
ID#AAABAnjNoOk
Deleted user    (2023-12-06 23:42:03)
4 = 20 or more questions answered</t>
      </text>
    </comment>
    <comment authorId="0" ref="AW15">
      <text>
        <t xml:space="preserve">======
ID#AAABAnjNoOg
Deleted user    (2023-12-06 23:41:56)
3 = 10 questions answered</t>
      </text>
    </comment>
    <comment authorId="0" ref="AV15">
      <text>
        <t xml:space="preserve">======
ID#AAABAni_97U
Deleted user    (2023-12-06 23:41:52)
2 = 5 questions answered</t>
      </text>
    </comment>
    <comment authorId="0" ref="AU15">
      <text>
        <t xml:space="preserve">======
ID#AAABAni_97Q
Deleted user    (2023-12-06 23:41:49)
1 = 2 questions answered</t>
      </text>
    </comment>
    <comment authorId="0" ref="AY15">
      <text>
        <t xml:space="preserve">======
ID#AAABAni_97M
Deleted user    (2023-12-06 23:41:37)
The student will be able to answer questions concerning current events.</t>
      </text>
    </comment>
    <comment authorId="0" ref="AX16">
      <text>
        <t xml:space="preserve">======
ID#AAABAni_97I
Deleted user    (2023-12-06 23:41:28)
4 = 20 or more novel questions answered</t>
      </text>
    </comment>
    <comment authorId="0" ref="AW16">
      <text>
        <t xml:space="preserve">======
ID#AAABAni_97E
Deleted user    (2023-12-06 23:41:23)
3 = 10 novel questions answered</t>
      </text>
    </comment>
    <comment authorId="0" ref="AV16">
      <text>
        <t xml:space="preserve">======
ID#AAABAni_97A
Deleted user    (2023-12-06 23:41:19)
2 = 5 novel questions answered</t>
      </text>
    </comment>
    <comment authorId="0" ref="AU16">
      <text>
        <t xml:space="preserve">======
ID#AAABAni_968
Deleted user    (2023-12-06 23:41:15)
1 = 2 novel questions answered</t>
      </text>
    </comment>
    <comment authorId="0" ref="AY16">
      <text>
        <t xml:space="preserve">======
ID#AAABAni_964
Deleted user    (2023-12-06 23:41:05)
The student will be able to answer questions asked in a different way than was originally taught.</t>
      </text>
    </comment>
    <comment authorId="0" ref="AW17">
      <text>
        <t xml:space="preserve">======
ID#AAABAni_960
Deleted user    (2023-12-06 23:40:59)
2 = five exchanges on at least 10 different topics including the student asking at least one novel
question or making at least one novel comment</t>
      </text>
    </comment>
    <comment authorId="0" ref="AU17">
      <text>
        <t xml:space="preserve">======
ID#AAABAni_96w
Deleted user    (2023-12-06 23:40:39)
1 = 3 exchanges on at least 5 different topics</t>
      </text>
    </comment>
    <comment authorId="0" ref="AY17">
      <text>
        <t xml:space="preserve">======
ID#AAABAni_96s
Deleted user    (2023-12-06 23:40:33)
The student will be able to maintain a conversation on a single topic for at least five verbal exchanges.</t>
      </text>
    </comment>
    <comment authorId="0" ref="AX18">
      <text>
        <t xml:space="preserve">======
ID#AAABAni_96o
Deleted user    (2023-12-06 23:40:26)
4 = 4 answers regarding past and future events over a month away</t>
      </text>
    </comment>
    <comment authorId="0" ref="AW18">
      <text>
        <t xml:space="preserve">======
ID#AAABAni_96k
Deleted user    (2023-12-06 23:40:16)
3 = 2 answers regarding past or future events over a month away</t>
      </text>
    </comment>
    <comment authorId="0" ref="AV18">
      <text>
        <t xml:space="preserve">======
ID#AAABAni_96g
Deleted user    (2023-12-06 23:40:07)
2 = 2 answers regarding past or future events within a week</t>
      </text>
    </comment>
    <comment authorId="0" ref="AU18">
      <text>
        <t xml:space="preserve">======
ID#AAABAni_96c
Deleted user    (2023-12-06 23:40:00)
1 = at least 2 answers regarding past or future events of that day</t>
      </text>
    </comment>
    <comment authorId="0" ref="AY18">
      <text>
        <t xml:space="preserve">======
ID#AAABAni_96Y
Deleted user    (2023-12-06 23:39:53)
The student will be able to answer questions which require a single response concerning his past and upcoming events.</t>
      </text>
    </comment>
    <comment authorId="0" ref="AX19">
      <text>
        <t xml:space="preserve">======
ID#AAABAni_96U
Deleted user    (2023-12-06 23:39:47)
4 = can state steps both before and after for 10 different activities</t>
      </text>
    </comment>
    <comment authorId="0" ref="AW19">
      <text>
        <t xml:space="preserve">======
ID#AAABAni_96Q
Deleted user    (2023-12-06 23:39:41)
3 = can state steps both before and after for 5 activities</t>
      </text>
    </comment>
    <comment authorId="0" ref="AV19">
      <text>
        <t xml:space="preserve">======
ID#AAABAni_96M
Deleted user    (2023-12-06 23:39:31)
2 = can state 1 step either before or after for 2 activities</t>
      </text>
    </comment>
    <comment authorId="0" ref="AU19">
      <text>
        <t xml:space="preserve">======
ID#AAABAni_96I
Deleted user    (2023-12-06 23:39:24)
1 = can state 1 step either before or a single activity</t>
      </text>
    </comment>
    <comment authorId="0" ref="AY19">
      <text>
        <t xml:space="preserve">======
ID#AAABAni_96E
Deleted user    (2023-12-06 23:39:17)
The student will be able to state the steps which occur before and after a given step in sequence of a daily activity.</t>
      </text>
    </comment>
    <comment authorId="0" ref="AW20">
      <text>
        <t xml:space="preserve">======
ID#AAABAni_96A
Deleted user    (2023-12-06 23:38:53)
2 = can describe at least 20 items stating at least 3 relevant details about the items (not including the label/name of the items)</t>
      </text>
    </comment>
    <comment authorId="0" ref="AU20">
      <text>
        <t xml:space="preserve">======
ID#AAABAni_958
Deleted user    (2023-12-06 23:38:36)
1 = can describe at least 10 items stating at least 2 relevant details about the items (not including the label/name of the items)</t>
      </text>
    </comment>
    <comment authorId="0" ref="AY20">
      <text>
        <t xml:space="preserve">======
ID#AAABAni_954
Deleted user    (2023-12-06 23:38:29)
The student will be able to describe items by identifying what you do with the item, some of its features and/or its classification.</t>
      </text>
    </comment>
    <comment authorId="0" ref="AX21">
      <text>
        <t xml:space="preserve">======
ID#AAABAni_950
Deleted user    (2023-12-06 23:38:21)
4 = 4 responses provided to 5 different questions</t>
      </text>
    </comment>
    <comment authorId="0" ref="AW21">
      <text>
        <t xml:space="preserve">======
ID#AAABAni_95w
Deleted user    (2023-12-06 23:38:13)
3 = 3 responses provided to 4 different questions</t>
      </text>
    </comment>
    <comment authorId="0" ref="AV21">
      <text>
        <t xml:space="preserve">======
ID#AAABAni_95s
Deleted user    (2023-12-06 23:38:02)
2 = 2 responses provided for 3 questions</t>
      </text>
    </comment>
    <comment authorId="0" ref="AU21">
      <text>
        <t xml:space="preserve">======
ID#AAABAni_95o
Deleted user    (2023-12-06 23:37:45)
1 = 2 responses provided for 1 question</t>
      </text>
    </comment>
    <comment authorId="0" ref="AY21">
      <text>
        <t xml:space="preserve">======
ID#AAABAni_95k
Deleted user    (2023-12-06 23:37:35)
The student will be able to provide multiple answers to questions which contain three critical stimuli.</t>
      </text>
    </comment>
    <comment authorId="0" ref="AX22">
      <text>
        <t xml:space="preserve">======
ID#AAABAni_95g
Deleted user    (2023-12-06 23:37:23)
4 = 4 responses provided to 5 different questions</t>
      </text>
    </comment>
    <comment authorId="0" ref="AW22">
      <text>
        <t xml:space="preserve">======
ID#AAABAni_95c
Deleted user    (2023-12-06 23:37:12)
3 = 3 responses provided to 4 different questions</t>
      </text>
    </comment>
    <comment authorId="0" ref="AV22">
      <text>
        <t xml:space="preserve">======
ID#AAABAni_95Y
Deleted user    (2023-12-06 23:36:46)
2 = 2 responses provided for 3 questions</t>
      </text>
    </comment>
    <comment authorId="0" ref="AU22">
      <text>
        <t xml:space="preserve">======
ID#AAABAni_95U
Deleted user    (2023-12-06 23:36:39)
1 = 2 responses provided for 1 question</t>
      </text>
    </comment>
    <comment authorId="0" ref="AY22">
      <text>
        <t xml:space="preserve">======
ID#AAABAni_95Q
Deleted user    (2023-12-06 23:36:21)
The student will be able to provide multiple answers to questions which contains two critical stimuli.</t>
      </text>
    </comment>
    <comment authorId="0" ref="AX23">
      <text>
        <t xml:space="preserve">======
ID#AAABAni_95M
Deleted user    (2023-12-06 23:36:13)
4 = can answer at least 50 questions</t>
      </text>
    </comment>
    <comment authorId="0" ref="AW23">
      <text>
        <t xml:space="preserve">======
ID#AAABAni_95I
Deleted user    (2023-12-06 23:36:03)
3 = at least 25 questions</t>
      </text>
    </comment>
    <comment authorId="0" ref="AV23">
      <text>
        <t xml:space="preserve">======
ID#AAABAni_95E
Deleted user    (2023-12-06 23:35:57)
2 = at least 10 questions</t>
      </text>
    </comment>
    <comment authorId="0" ref="AU23">
      <text>
        <t xml:space="preserve">======
ID#AAABAni_95A
Deleted user    (2023-12-06 23:35:50)
1 = at least 5 questions about items not present</t>
      </text>
    </comment>
    <comment authorId="0" ref="AY23">
      <text>
        <t xml:space="preserve">======
ID#AAABAni_948
Deleted user    (2023-12-06 23:35:34)
The student will be able to move his head or say "Yes" or "No" to answer questions about an item or activity which is not present.</t>
      </text>
    </comment>
    <comment authorId="0" ref="AX24">
      <text>
        <t xml:space="preserve">======
ID#AAABAni_944
Deleted user    (2023-12-06 23:35:20)
4 = 20 or more questions answered</t>
      </text>
    </comment>
    <comment authorId="0" ref="AW24">
      <text>
        <t xml:space="preserve">======
ID#AAABAni_940
Deleted user    (2023-12-06 23:35:14)
3 = 10 questions answered</t>
      </text>
    </comment>
    <comment authorId="0" ref="AV24">
      <text>
        <t xml:space="preserve">======
ID#AAABAni_94w
Deleted user    (2023-12-06 23:35:10)
2 = 5 questions answered</t>
      </text>
    </comment>
    <comment authorId="0" ref="AU24">
      <text>
        <t xml:space="preserve">======
ID#AAABAni_94s
Deleted user    (2023-12-06 23:35:06)
1 = 2 questions answered</t>
      </text>
    </comment>
    <comment authorId="0" ref="AY24">
      <text>
        <t xml:space="preserve">======
ID#AAABAni_94o
Deleted user    (2023-12-06 23:34:46)
The student will be able to give the name of an item after being provided with multiple aspects of the item (e.g., its functions, features, class).</t>
      </text>
    </comment>
    <comment authorId="0" ref="AX25">
      <text>
        <t xml:space="preserve">======
ID#AAABAni_94k
Deleted user    (2023-12-06 23:34:06)
4 = 20 or more questions answered</t>
      </text>
    </comment>
    <comment authorId="0" ref="AW25">
      <text>
        <t xml:space="preserve">======
ID#AAABAni_94g
Deleted user    (2023-12-06 23:34:00)
3 = 10 questions answered</t>
      </text>
    </comment>
    <comment authorId="0" ref="AV25">
      <text>
        <t xml:space="preserve">======
ID#AAABAni_94c
Deleted user    (2023-12-06 23:33:53)
2 = 5 questions answered</t>
      </text>
    </comment>
    <comment authorId="0" ref="AU25">
      <text>
        <t xml:space="preserve">======
ID#AAABAni_94Y
Deleted user    (2023-12-06 23:33:28)
1 = 2 questions answered</t>
      </text>
    </comment>
    <comment authorId="0" ref="AY25">
      <text>
        <t xml:space="preserve">======
ID#AAABAni_94U
Deleted user    (2023-12-06 23:33:21)
The student will be able to state the activity being described when told a sequence of actions.</t>
      </text>
    </comment>
    <comment authorId="0" ref="AX26">
      <text>
        <t xml:space="preserve">======
ID#AAABAni_94Q
Deleted user    (2023-12-06 23:33:13)
4 = 5 or more steps in at least 2 sequences</t>
      </text>
    </comment>
    <comment authorId="0" ref="AW26">
      <text>
        <t xml:space="preserve">======
ID#AAABAniXfv4
Deleted user    (2023-12-06 23:32:55)
3 = 4 steps in sequence</t>
      </text>
    </comment>
    <comment authorId="0" ref="AV26">
      <text>
        <t xml:space="preserve">======
ID#AAABAniXfv0
Deleted user    (2023-12-06 23:32:50)
2 = 3 steps in sequence</t>
      </text>
    </comment>
    <comment authorId="0" ref="AU26">
      <text>
        <t xml:space="preserve">======
ID#AAABAniXfvw
Deleted user    (2023-12-06 23:32:40)
1 = 2 steps in a sequence</t>
      </text>
    </comment>
    <comment authorId="0" ref="AY26">
      <text>
        <t xml:space="preserve">======
ID#AAABAniXfvs
Deleted user    (2023-12-06 23:32:30)
The student will be able to state the steps in sequence of a daily activity.</t>
      </text>
    </comment>
    <comment authorId="0" ref="AX27">
      <text>
        <t xml:space="preserve">======
ID#AAABAniXfvo
Deleted user    (2023-12-06 23:32:09)
4 = answers 50 or more questions</t>
      </text>
    </comment>
    <comment authorId="0" ref="AW27">
      <text>
        <t xml:space="preserve">======
ID#AAABAniXfvk
Deleted user    (2023-12-06 23:31:58)
3 = 25 questions</t>
      </text>
    </comment>
    <comment authorId="0" ref="AV27">
      <text>
        <t xml:space="preserve">======
ID#AAABAniXfvg
Deleted user    (2023-12-06 23:31:51)
2 = 10 questions</t>
      </text>
    </comment>
    <comment authorId="0" ref="AU27">
      <text>
        <t xml:space="preserve">======
ID#AAABAniXfvc
Deleted user    (2023-12-06 23:31:45)
1 = answers at least 5 questions</t>
      </text>
    </comment>
    <comment authorId="0" ref="AY27">
      <text>
        <t xml:space="preserve">======
ID#AAABAniXfvY
Deleted user    (2023-12-06 23:31:30)
The student will be able to answer "Why" questions.</t>
      </text>
    </comment>
    <comment authorId="0" ref="AX28">
      <text>
        <t xml:space="preserve">======
ID#AAABAniXfvU
Deleted user    (2023-12-06 23:31:23)
4 = answers 50 or more questions</t>
      </text>
    </comment>
    <comment authorId="0" ref="AW28">
      <text>
        <t xml:space="preserve">======
ID#AAABAniXfvQ
Deleted user    (2023-12-06 23:31:12)
3 = 25 questions</t>
      </text>
    </comment>
    <comment authorId="0" ref="AV28">
      <text>
        <t xml:space="preserve">======
ID#AAABAniXfvM
Deleted user    (2023-12-06 23:31:03)
2 = 10 questions</t>
      </text>
    </comment>
    <comment authorId="0" ref="AU28">
      <text>
        <t xml:space="preserve">======
ID#AAABAniXfvI
Deleted user    (2023-12-06 23:30:56)
1 = answers at least 5 questions</t>
      </text>
    </comment>
    <comment authorId="0" ref="AY28">
      <text>
        <t xml:space="preserve">======
ID#AAABAniXfvE
Deleted user    (2023-12-06 23:30:49)
The student will be able to answer "How" questions.</t>
      </text>
    </comment>
    <comment authorId="0" ref="AX29">
      <text>
        <t xml:space="preserve">======
ID#AAABAniXfvA
Deleted user    (2023-12-06 23:30:43)
4 = answers 50 or more questions</t>
      </text>
    </comment>
    <comment authorId="0" ref="AW29">
      <text>
        <t xml:space="preserve">======
ID#AAABAniXfu8
Deleted user    (2023-12-06 23:30:36)
3 = 25 questions</t>
      </text>
    </comment>
    <comment authorId="0" ref="AV29">
      <text>
        <t xml:space="preserve">======
ID#AAABAniXfu4
Deleted user    (2023-12-06 23:30:30)
2 = 10 questions</t>
      </text>
    </comment>
    <comment authorId="0" ref="AU29">
      <text>
        <t xml:space="preserve">======
ID#AAABAniXfu0
Deleted user    (2023-12-06 23:30:18)
1 = answers at least 5 questions</t>
      </text>
    </comment>
    <comment authorId="0" ref="AY29">
      <text>
        <t xml:space="preserve">======
ID#AAABAniXfuw
Deleted user    (2023-12-06 23:29:59)
The student will be able to answer "Which" questions.</t>
      </text>
    </comment>
    <comment authorId="0" ref="AW30">
      <text>
        <t xml:space="preserve">======
ID#AAABAniXfus
Deleted user    (2023-12-06 23:29:53)
2 = can answer at least four types of questions in any order</t>
      </text>
    </comment>
    <comment authorId="0" ref="AU30">
      <text>
        <t xml:space="preserve">======
ID#AAABAniXfuo
Deleted user    (2023-12-06 23:29:46)
1 = can answer at least two types of questions in any order</t>
      </text>
    </comment>
    <comment authorId="0" ref="AY30">
      <text>
        <t xml:space="preserve">======
ID#AAABAniXfuk
Deleted user    (2023-12-06 23:29:30)
When discussing an item or
activity, the student will be able to discriminate whether he is being asked a "What'', "Where," "Who," or "When" question.</t>
      </text>
    </comment>
    <comment authorId="0" ref="AX31">
      <text>
        <t xml:space="preserve">======
ID#AAABAniXfug
Deleted user    (2023-12-06 23:28:30)
4 = answers 50 or more questions</t>
      </text>
    </comment>
    <comment authorId="0" ref="AW31">
      <text>
        <t xml:space="preserve">======
ID#AAABAniXfuc
Deleted user    (2023-12-06 23:28:21)
3 = 25 questions</t>
      </text>
    </comment>
    <comment authorId="0" ref="AV31">
      <text>
        <t xml:space="preserve">======
ID#AAABAniXfuY
Deleted user    (2023-12-06 23:28:14)
2 = 10 questions</t>
      </text>
    </comment>
    <comment authorId="0" ref="AU31">
      <text>
        <t xml:space="preserve">======
ID#AAABAniXfuU
Deleted user    (2023-12-06 23:28:08)
1 = answers at least 5 questions</t>
      </text>
    </comment>
    <comment authorId="0" ref="AY31">
      <text>
        <t xml:space="preserve">======
ID#AAABAniXfuQ
Deleted user    (2023-12-06 23:27:58)
The student will be able to answer "When" questions.</t>
      </text>
    </comment>
    <comment authorId="0" ref="AX32">
      <text>
        <t xml:space="preserve">======
ID#AAABAniXfuM
Deleted user    (2023-12-06 23:27:51)
4 = answers 50 or more questions</t>
      </text>
    </comment>
    <comment authorId="0" ref="AW32">
      <text>
        <t xml:space="preserve">======
ID#AAABAniXfuI
Deleted user    (2023-12-06 23:27:40)
3 = 25 questions</t>
      </text>
    </comment>
    <comment authorId="0" ref="AV32">
      <text>
        <t xml:space="preserve">======
ID#AAABAniXfuE
Deleted user    (2023-12-06 23:27:33)
2 = 10 questions</t>
      </text>
    </comment>
    <comment authorId="0" ref="AU32">
      <text>
        <t xml:space="preserve">======
ID#AAABAniXfuA
Deleted user    (2023-12-06 23:27:25)
1 = answers at least 5 questions</t>
      </text>
    </comment>
    <comment authorId="0" ref="AY32">
      <text>
        <t xml:space="preserve">======
ID#AAABAniXft8
Deleted user    (2023-12-06 23:26:59)
The student will be able to answer "Who/Whose" questions.</t>
      </text>
    </comment>
    <comment authorId="0" ref="AX33">
      <text>
        <t xml:space="preserve">======
ID#AAABAniXft4
Deleted user    (2023-12-06 23:26:52)
4 = 20 classes when told 2 or more members</t>
      </text>
    </comment>
    <comment authorId="0" ref="AW33">
      <text>
        <t xml:space="preserve">======
ID#AAABAniXft0
Deleted user    (2023-12-06 23:26:41)
3 = 10 classes</t>
      </text>
    </comment>
    <comment authorId="0" ref="AV33">
      <text>
        <t xml:space="preserve">======
ID#AAABAniXftw
Deleted user    (2023-12-06 23:26:37)
2 = 5 classes</t>
      </text>
    </comment>
    <comment authorId="0" ref="AU33">
      <text>
        <t xml:space="preserve">======
ID#AAABAniXfts
Deleted user    (2023-12-06 23:26:28)
1 = class when told 2 or more members</t>
      </text>
    </comment>
    <comment authorId="0" ref="AY33">
      <text>
        <t xml:space="preserve">======
ID#AAABAniXfto
Deleted user    (2023-12-06 23:26:19)
The student will be able to identify the class when told two or more items from the class.</t>
      </text>
    </comment>
    <comment authorId="0" ref="AX34">
      <text>
        <t xml:space="preserve">======
ID#AAABAniXftk
Deleted user    (2023-12-06 23:26:14)
4 = 20 categories with 3 responses</t>
      </text>
    </comment>
    <comment authorId="0" ref="AW34">
      <text>
        <t xml:space="preserve">======
ID#AAABAniXftg
Deleted user    (2023-12-06 23:26:06)
3 = 10 categories with 3 responses</t>
      </text>
    </comment>
    <comment authorId="0" ref="AV34">
      <text>
        <t xml:space="preserve">======
ID#AAABAniXftc
Deleted user    (2023-12-06 23:26:01)
2 = 5 categories with 2 responses</t>
      </text>
    </comment>
    <comment authorId="0" ref="AU34">
      <text>
        <t xml:space="preserve">======
ID#AAABAniXftY
Deleted user    (2023-12-06 23:25:56)
1 = 2 categories with 2 responses</t>
      </text>
    </comment>
    <comment authorId="0" ref="AY34">
      <text>
        <t xml:space="preserve">======
ID#AAABAniXftU
Deleted user    (2023-12-06 23:25:37)
The student will be able to provide several answers to questions concerning his immediate community.</t>
      </text>
    </comment>
    <comment authorId="0" ref="AX35">
      <text>
        <t xml:space="preserve">======
ID#AAABAniXftQ
Deleted user    (2023-12-06 23:25:29)
4 = answers 30 or more questions</t>
      </text>
    </comment>
    <comment authorId="0" ref="AW35">
      <text>
        <t xml:space="preserve">======
ID#AAABAniXftI
Deleted user    (2023-12-06 23:25:20)
3 = 15 questions</t>
      </text>
    </comment>
    <comment authorId="0" ref="AV35">
      <text>
        <t xml:space="preserve">======
ID#AAABAniXftE
Deleted user    (2023-12-06 23:25:15)
2 = 10 questions</t>
      </text>
    </comment>
    <comment authorId="0" ref="AU35">
      <text>
        <t xml:space="preserve">======
ID#AAABAniXftA
Deleted user    (2023-12-06 23:25:09)
1 = answers at least 5 questions</t>
      </text>
    </comment>
    <comment authorId="0" ref="AY35">
      <text>
        <t xml:space="preserve">======
ID#AAABAniXfs8
Deleted user    (2023-12-06 23:25:01)
The student will be able to answer "Where" questions regarding activities and items found in the community.</t>
      </text>
    </comment>
    <comment authorId="0" ref="AX36">
      <text>
        <t xml:space="preserve">======
ID#AAABAniXfs4
Deleted user    (2023-12-06 23:24:53)
4 = 20 or more questions answered</t>
      </text>
    </comment>
    <comment authorId="0" ref="AW36">
      <text>
        <t xml:space="preserve">======
ID#AAABAniXfs0
Deleted user    (2023-12-06 23:24:47)
3 = 10 questions answered</t>
      </text>
    </comment>
    <comment authorId="0" ref="AV36">
      <text>
        <t xml:space="preserve">======
ID#AAABAniXfsw
Deleted user    (2023-12-06 23:24:43)
2 = 5 questions answered</t>
      </text>
    </comment>
    <comment authorId="0" ref="AU36">
      <text>
        <t xml:space="preserve">======
ID#AAABAniXfss
Deleted user    (2023-12-06 23:24:37)
1 = 2 questions answered</t>
      </text>
    </comment>
    <comment authorId="0" ref="AY36">
      <text>
        <t xml:space="preserve">======
ID#AAABAniXfso
Deleted user    (2023-12-06 23:24:19)
The student will be able to give single response answers regarding questions concerning what he could do in various locations in his community.</t>
      </text>
    </comment>
    <comment authorId="0" ref="AX37">
      <text>
        <t xml:space="preserve">======
ID#AAABAniXfsk
Deleted user    (2023-12-06 23:23:51)
4 = 20 or more questions answered</t>
      </text>
    </comment>
    <comment authorId="0" ref="AW37">
      <text>
        <t xml:space="preserve">======
ID#AAABAniXfsg
Deleted user    (2023-12-06 23:23:46)
3 = 10 questions answered</t>
      </text>
    </comment>
    <comment authorId="0" ref="AV37">
      <text>
        <t xml:space="preserve">======
ID#AAABAnh1gZA
Deleted user    (2023-12-06 23:23:40)
2 = 5 questions answered</t>
      </text>
    </comment>
    <comment authorId="0" ref="AU37">
      <text>
        <t xml:space="preserve">======
ID#AAABAnh1gY8
Deleted user    (2023-12-06 23:23:36)
1 = 2 questions answered</t>
      </text>
    </comment>
    <comment authorId="0" ref="AY37">
      <text>
        <t xml:space="preserve">======
ID#AAABAnh1gY4
Deleted user    (2023-12-06 23:23:21)
The student will be able to give single response answers regarding questions concerning what he might see in various locations in his community.</t>
      </text>
    </comment>
    <comment authorId="0" ref="AX38">
      <text>
        <t xml:space="preserve">======
ID#AAABAnh1gY0
Deleted user    (2023-12-06 23:23:13)
4 = expands/comments on 20 pictures</t>
      </text>
    </comment>
    <comment authorId="0" ref="AW38">
      <text>
        <t xml:space="preserve">======
ID#AAABAnh1gYw
Deleted user    (2023-12-06 23:23:06)
3 = expands/comments on 10 pictures</t>
      </text>
    </comment>
    <comment authorId="0" ref="AV38">
      <text>
        <t xml:space="preserve">======
ID#AAABAnh1gYs
Deleted user    (2023-12-06 23:22:58)
2 = expands/comments on 5 pictures</t>
      </text>
    </comment>
    <comment authorId="0" ref="AU38">
      <text>
        <t xml:space="preserve">======
ID#AAABAnh1gYo
Deleted user    (2023-12-06 23:22:50)
1 = expands/comments on 1 picture</t>
      </text>
    </comment>
    <comment authorId="0" ref="AY38">
      <text>
        <t xml:space="preserve">======
ID#AAABAnh1gYk
Deleted user    (2023-12-06 23:22:38)
The student will be able to make a variety of related comments (not including naming of items) regarding pictures of items or activities.</t>
      </text>
    </comment>
    <comment authorId="0" ref="AX39">
      <text>
        <t xml:space="preserve">======
ID#AAABAnh1gYg
Deleted user    (2023-12-06 23:22:17)
4 = states 2 or more people one hour after the observation</t>
      </text>
    </comment>
    <comment authorId="0" ref="AW39">
      <text>
        <t xml:space="preserve">======
ID#AAABAnh1gYc
Deleted user    (2023-12-06 23:22:05)
3 = 1 person after 10 minutes,</t>
      </text>
    </comment>
    <comment authorId="0" ref="AV39">
      <text>
        <t xml:space="preserve">======
ID#AAABAnh1gYY
Deleted user    (2023-12-06 23:21:57)
2 = 1 person after 5 minutes</t>
      </text>
    </comment>
    <comment authorId="0" ref="AU39">
      <text>
        <t xml:space="preserve">======
ID#AAABAnh1gYU
Deleted user    (2023-12-06 23:21:46)
1 = 1 person immediately after the observation</t>
      </text>
    </comment>
    <comment authorId="0" ref="AY39">
      <text>
        <t xml:space="preserve">======
ID#AAABAnh1gYQ
Deleted user    (2023-12-06 23:21:37)
The student will be able to name people who had previously been observed.</t>
      </text>
    </comment>
    <comment authorId="0" ref="AX40">
      <text>
        <t xml:space="preserve">======
ID#AAABAnh1gYM
Deleted user    (2023-12-06 23:21:31)
4 = states the activity one hour after seeing the activity</t>
      </text>
    </comment>
    <comment authorId="0" ref="AW40">
      <text>
        <t xml:space="preserve">======
ID#AAABAnh1gYI
Deleted user    (2023-12-06 23:21:22)
3 = states activity after 10 minutes</t>
      </text>
    </comment>
    <comment authorId="0" ref="AV40">
      <text>
        <t xml:space="preserve">======
ID#AAABAnh1gYE
Deleted user    (2023-12-06 23:21:14)
2 = states activity after 5 minutes</t>
      </text>
    </comment>
    <comment authorId="0" ref="AU40">
      <text>
        <t xml:space="preserve">======
ID#AAABAnh1gYA
Deleted user    (2023-12-06 23:21:07)
1 = states activity immediately after the observing the activity</t>
      </text>
    </comment>
    <comment authorId="0" ref="AY40">
      <text>
        <t xml:space="preserve">======
ID#AAABAnh1gX8
Deleted user    (2023-12-06 23:21:00)
The student will be able to name an activity that he has recently observed.</t>
      </text>
    </comment>
    <comment authorId="0" ref="AX41">
      <text>
        <t xml:space="preserve">======
ID#AAABAnh1gX4
Deleted user    (2023-12-06 23:20:53)
4 = states 2 or more items one hour after the observation</t>
      </text>
    </comment>
    <comment authorId="0" ref="AW41">
      <text>
        <t xml:space="preserve">======
ID#AAABAnh1gX0
Deleted user    (2023-12-06 23:20:43)
3 = 1 item after 10 minutes</t>
      </text>
    </comment>
    <comment authorId="0" ref="AV41">
      <text>
        <t xml:space="preserve">======
ID#AAABAnh1gXw
Deleted user    (2023-12-06 23:20:35)
2 = 1 item after 5 minutes</t>
      </text>
    </comment>
    <comment authorId="0" ref="AU41">
      <text>
        <t xml:space="preserve">======
ID#AAABAnh1gXs
Deleted user    (2023-12-06 23:20:27)
1 = 1 item immediately after the observation</t>
      </text>
    </comment>
    <comment authorId="0" ref="AY41">
      <text>
        <t xml:space="preserve">======
ID#AAABAnh1gXo
Deleted user    (2023-12-06 23:20:19)
The student will be able to name items which had previously been observed.</t>
      </text>
    </comment>
    <comment authorId="0" ref="AX42">
      <text>
        <t xml:space="preserve">======
ID#AAABAnh1gXk
Deleted user    (2023-12-06 23:19:49)
4 = 20 or more fill-ins with two responses</t>
      </text>
    </comment>
    <comment authorId="0" ref="AW42">
      <text>
        <t xml:space="preserve">======
ID#AAABAnh1gXg
Deleted user    (2023-12-06 23:19:40)
3 = 10 fill-ins with two responses</t>
      </text>
    </comment>
    <comment authorId="0" ref="AV42">
      <text>
        <t xml:space="preserve">======
ID#AAABAnh1gXc
Deleted user    (2023-12-06 23:19:34)
2 = 5 fill-in responses</t>
      </text>
    </comment>
    <comment authorId="0" ref="AU42">
      <text>
        <t xml:space="preserve">======
ID#AAABAnh1gXY
Deleted user    (2023-12-06 23:19:28)
1 = 2 fill-in responses</t>
      </text>
    </comment>
    <comment authorId="0" ref="AY42">
      <text>
        <t xml:space="preserve">======
ID#AAABAnh1gXU
Deleted user    (2023-12-06 23:19:16)
The student will be able to fill in the remaining word of a phrase to specify the class of a given item/example.</t>
      </text>
    </comment>
    <comment authorId="0" ref="AX43">
      <text>
        <t xml:space="preserve">======
ID#AAABAnh1gXQ
Deleted user    (2023-12-06 23:19:08)
4 = 20 or more fill-ins with two responses</t>
      </text>
    </comment>
    <comment authorId="0" ref="AW43">
      <text>
        <t xml:space="preserve">======
ID#AAABAnh1gXM
Deleted user    (2023-12-06 23:18:59)
3 = 10 fill-ins with two responses</t>
      </text>
    </comment>
    <comment authorId="0" ref="AV43">
      <text>
        <t xml:space="preserve">======
ID#AAABAnh1gXI
Deleted user    (2023-12-06 23:18:43)
2 = 5 fill-in responses</t>
      </text>
    </comment>
    <comment authorId="0" ref="AU43">
      <text>
        <t xml:space="preserve">======
ID#AAABAnh1gXE
Deleted user    (2023-12-06 23:18:38)
1 = 2 fill-in responses</t>
      </text>
    </comment>
    <comment authorId="0" ref="AY43">
      <text>
        <t xml:space="preserve">======
ID#AAABAnh1gXA
Deleted user    (2023-12-06 23:18:27)
When told a feature of an item, the student will be able to fill in the remaining word in a phrase to name the item.</t>
      </text>
    </comment>
    <comment authorId="0" ref="AX44">
      <text>
        <t xml:space="preserve">======
ID#AAABAnh1gW8
Deleted user    (2023-12-06 23:18:17)
4 = 20 or more fill-ins with two responses</t>
      </text>
    </comment>
    <comment authorId="0" ref="AW44">
      <text>
        <t xml:space="preserve">======
ID#AAABAnh1gW4
Deleted user    (2023-12-06 23:18:07)
3 = 10 fill-ins with two responses</t>
      </text>
    </comment>
    <comment authorId="0" ref="AV44">
      <text>
        <t xml:space="preserve">======
ID#AAABAnh1gW0
Deleted user    (2023-12-06 23:17:58)
2 = 5 fill-in responses</t>
      </text>
    </comment>
    <comment authorId="0" ref="AU44">
      <text>
        <t xml:space="preserve">======
ID#AAABAnh1gWw
Deleted user    (2023-12-06 23:17:54)
1 = 2 fill-in responses</t>
      </text>
    </comment>
    <comment authorId="0" ref="AY44">
      <text>
        <t xml:space="preserve">======
ID#AAABAnh1gWs
Deleted user    (2023-12-06 23:17:35)
When told the name of the item, the student will be able to fill in the remaining word in a phrase</t>
      </text>
    </comment>
    <comment authorId="0" ref="AX45">
      <text>
        <t xml:space="preserve">======
ID#AAABAnh1gWo
Deleted user    (2023-12-06 23:17:27)
4 = 20 categories with 4 responses</t>
      </text>
    </comment>
    <comment authorId="0" ref="AW45">
      <text>
        <t xml:space="preserve">======
ID#AAABAnh1gWk
Deleted user    (2023-12-06 23:17:21)
3 = 10 categories with 3 responses</t>
      </text>
    </comment>
    <comment authorId="0" ref="AV45">
      <text>
        <t xml:space="preserve">======
ID#AAABAnh1gWg
Deleted user    (2023-12-06 23:17:15)
2 = 5 categories with 2 responses</t>
      </text>
    </comment>
    <comment authorId="0" ref="AU45">
      <text>
        <t xml:space="preserve">======
ID#AAABAnh1gWc
Deleted user    (2023-12-06 23:17:09)
1 = 2 categories with 2 responses</t>
      </text>
    </comment>
    <comment authorId="0" ref="AY45">
      <text>
        <t xml:space="preserve">======
ID#AAABAnh1gWY
Deleted user    (2023-12-06 23:16:39)
The student will be able to verbally provide members of specific categories.</t>
      </text>
    </comment>
    <comment authorId="0" ref="AX46">
      <text>
        <t xml:space="preserve">======
ID#AAABAnh1gWU
Deleted user    (2023-12-06 23:16:29)
4 = 20 or more fill-ins with two responses</t>
      </text>
    </comment>
    <comment authorId="0" ref="AW46">
      <text>
        <t xml:space="preserve">======
ID#AAABAnh1gWQ
Deleted user    (2023-12-06 23:16:22)
3 = 10 fill-ins with two responses</t>
      </text>
    </comment>
    <comment authorId="0" ref="AV46">
      <text>
        <t xml:space="preserve">======
ID#AAABAnh1gWM
Deleted user    (2023-12-06 23:16:12)
2 = 5 fill-in responses</t>
      </text>
    </comment>
    <comment authorId="0" ref="AU46">
      <text>
        <t xml:space="preserve">======
ID#AAABAnh1gWI
Deleted user    (2023-12-06 23:16:07)
1 = 2 fill-in responses</t>
      </text>
    </comment>
    <comment authorId="0" ref="AY46">
      <text>
        <t xml:space="preserve">======
ID#AAABAnh1gWE
Deleted user    (2023-12-06 23:15:56)
The student will be able to fill in the remaining word of a phrase to name an item/example of a specified class of items.</t>
      </text>
    </comment>
    <comment authorId="0" ref="AX47">
      <text>
        <t xml:space="preserve">======
ID#AAABAnh1gWA
Deleted user    (2023-12-06 23:15:49)
4 = answers 30 or more questions</t>
      </text>
    </comment>
    <comment authorId="0" ref="AW47">
      <text>
        <t xml:space="preserve">======
ID#AAABAnh1gV8
Deleted user    (2023-12-06 23:15:23)
3 = 15 questions</t>
      </text>
    </comment>
    <comment authorId="0" ref="AV47">
      <text>
        <t xml:space="preserve">======
ID#AAABAnh1gV4
Deleted user    (2023-12-06 23:15:05)
2 = 10 questions</t>
      </text>
    </comment>
    <comment authorId="0" ref="AU47">
      <text>
        <t xml:space="preserve">======
ID#AAABAnh1gV0
Deleted user    (2023-12-06 23:14:51)
1 = answers at least 5 questions</t>
      </text>
    </comment>
    <comment authorId="0" ref="AY47">
      <text>
        <t xml:space="preserve">======
ID#AAABAnh1gVw
Deleted user    (2023-12-06 23:14:39)
The student will be able to answer "Where" questions regarding activities done at home or school.</t>
      </text>
    </comment>
    <comment authorId="0" ref="AX48">
      <text>
        <t xml:space="preserve">======
ID#AAABAnh1gVs
Deleted user    (2023-12-06 23:14:14)
4 = answers 30 or more questions</t>
      </text>
    </comment>
    <comment authorId="0" ref="AW48">
      <text>
        <t xml:space="preserve">======
ID#AAABAnh1gVo
Deleted user    (2023-12-06 23:14:07)
3 = 15 questions</t>
      </text>
    </comment>
    <comment authorId="0" ref="AV48">
      <text>
        <t xml:space="preserve">======
ID#AAABAnh1gVk
Deleted user    (2023-12-06 23:14:03)
2 = 10 questions</t>
      </text>
    </comment>
    <comment authorId="0" ref="AU48">
      <text>
        <t xml:space="preserve">======
ID#AAABAnh1gVg
Deleted user    (2023-12-06 23:13:58)
1 = answers at least 5 questions</t>
      </text>
    </comment>
    <comment authorId="0" ref="AY48">
      <text>
        <t xml:space="preserve">======
ID#AAABAnh1gVc
Deleted user    (2023-12-06 23:13:49)
The student will be able to answer "Where" questions regarding items found in home or classroom.</t>
      </text>
    </comment>
    <comment authorId="0" ref="AX49">
      <text>
        <t xml:space="preserve">======
ID#AAABAnh1gVY
Deleted user    (2023-12-06 23:13:42)
4 = answers 50 or more questions</t>
      </text>
    </comment>
    <comment authorId="0" ref="AW49">
      <text>
        <t xml:space="preserve">======
ID#AAABAnhY0tY
Deleted user    (2023-12-06 23:13:34)
3 = 25 questions</t>
      </text>
    </comment>
    <comment authorId="0" ref="AV49">
      <text>
        <t xml:space="preserve">======
ID#AAABAnhY0tU
Deleted user    (2023-12-06 23:13:30)
2 = 10 questions</t>
      </text>
    </comment>
    <comment authorId="0" ref="AU49">
      <text>
        <t xml:space="preserve">======
ID#AAABAnhY0tQ
Deleted user    (2023-12-06 23:13:23)
1 = answers at least 5 questions</t>
      </text>
    </comment>
    <comment authorId="0" ref="AY49">
      <text>
        <t xml:space="preserve">======
ID#AAABAnhY0tM
Deleted user    (2023-12-06 23:13:16)
The student will be able to answer "What" questions regarding the function of items.</t>
      </text>
    </comment>
    <comment authorId="0" ref="AX50">
      <text>
        <t xml:space="preserve">======
ID#AAABAnhY0tI
Deleted user    (2023-12-06 23:13:08)
4 = answers 30 or more questions including at least 3 responses for at least 5 locations (e.g., bedroom, refrigerator, kitchen, closet, living room)</t>
      </text>
    </comment>
    <comment authorId="0" ref="AW50">
      <text>
        <t xml:space="preserve">======
ID#AAABAnhY0tE
Deleted user    (2023-12-06 23:12:59)
3 = 15 questions</t>
      </text>
    </comment>
    <comment authorId="0" ref="AV50">
      <text>
        <t xml:space="preserve">======
ID#AAABAnhY0tA
Deleted user    (2023-12-06 23:12:53)
2 = 10 questions</t>
      </text>
    </comment>
    <comment authorId="0" ref="AU50">
      <text>
        <t xml:space="preserve">======
ID#AAABAnhY0s8
Deleted user    (2023-12-06 23:12:48)
1 = answers at least 5 questions</t>
      </text>
    </comment>
    <comment authorId="0" ref="AY50">
      <text>
        <t xml:space="preserve">======
ID#AAABAnhY0s4
Deleted user    (2023-12-06 23:12:35)
The student will be able to answer "What" questions regarding items found in home.</t>
      </text>
    </comment>
    <comment authorId="0" ref="AX51">
      <text>
        <t xml:space="preserve">======
ID#AAABAnhY0s0
Deleted user    (2023-12-06 23:12:27)
4 = 20 or more fill-ins with two responses</t>
      </text>
    </comment>
    <comment authorId="0" ref="AW51">
      <text>
        <t xml:space="preserve">======
ID#AAABAnhY0sw
Deleted user    (2023-12-06 23:12:17)
3 = 10 fill-ins with two responses</t>
      </text>
    </comment>
    <comment authorId="0" ref="AV51">
      <text>
        <t xml:space="preserve">======
ID#AAABAnhY0ss
Deleted user    (2023-12-06 23:12:08)
2 = 5 fill-in responses</t>
      </text>
    </comment>
    <comment authorId="0" ref="AU51">
      <text>
        <t xml:space="preserve">======
ID#AAABAnhY0so
Deleted user    (2023-12-06 23:11:50)
1 = 2 fill-in responses</t>
      </text>
    </comment>
    <comment authorId="0" ref="AY51">
      <text>
        <t xml:space="preserve">======
ID#AAABAnhY0sk
Deleted user    (2023-12-06 23:11:36)
The student will be able to fill in the remaining word in a phrase naming the function of an item.</t>
      </text>
    </comment>
    <comment authorId="0" ref="AX52">
      <text>
        <t xml:space="preserve">======
ID#AAABAnhY0sg
Deleted user    (2023-12-06 23:11:30)
4 = 20 or more fill-ins with two responses</t>
      </text>
    </comment>
    <comment authorId="0" ref="AW52">
      <text>
        <t xml:space="preserve">======
ID#AAABAnhY0sc
Deleted user    (2023-12-06 23:11:20)
3 = 10 fill-ins with two responses</t>
      </text>
    </comment>
    <comment authorId="0" ref="AV52">
      <text>
        <t xml:space="preserve">======
ID#AAABAnhY0sY
Deleted user    (2023-12-06 23:11:12)
2 = 5 fill-in responses</t>
      </text>
    </comment>
    <comment authorId="0" ref="AU52">
      <text>
        <t xml:space="preserve">======
ID#AAABAnhY0sU
Deleted user    (2023-12-06 23:11:07)
1 = 2 fill-in responses</t>
      </text>
    </comment>
    <comment authorId="0" ref="AY52">
      <text>
        <t xml:space="preserve">======
ID#AAABAnhY0sQ
Deleted user    (2023-12-06 23:10:55)
The student will be able to fill in the remaining word naming the item in a phrase related to the function of an item.</t>
      </text>
    </comment>
    <comment authorId="0" ref="AX53">
      <text>
        <t xml:space="preserve">======
ID#AAABAnhY0sA
Deleted user    (2023-12-06 23:09:15)
4 = can say at least 2 related items for 20 or more named items</t>
      </text>
    </comment>
    <comment authorId="0" ref="AW53">
      <text>
        <t xml:space="preserve">======
ID#AAABAnhY0r8
Deleted user    (2023-12-06 23:08:59)
3 = 2 related items for each of 10 named items</t>
      </text>
    </comment>
    <comment authorId="0" ref="AV53">
      <text>
        <t xml:space="preserve">======
ID#AAABAnhY0r4
Deleted user    (2023-12-06 23:08:51)
2 = 1 related item for 10 items</t>
      </text>
    </comment>
    <comment authorId="0" ref="AU53">
      <text>
        <t xml:space="preserve">======
ID#AAABAnhY0r0
Deleted user    (2023-12-06 23:08:40)
1 = can say at least 1 related item for each of 5 named items</t>
      </text>
    </comment>
    <comment authorId="0" ref="AY53">
      <text>
        <t xml:space="preserve">======
ID#AAABAnhY0rw
Deleted user    (2023-12-06 23:08:29)
When asked "What goes with (_)?," the student will be able to say some items which is associated (related) with the stated item (e.g., says "bed" when hears "What goes with a pillow?").</t>
      </text>
    </comment>
    <comment authorId="0" ref="AX54">
      <text>
        <t xml:space="preserve">======
ID#AAABAnhY0rs
Deleted user    (2023-12-06 23:07:33)
4 = 10 or more fill-in responses</t>
      </text>
    </comment>
    <comment authorId="0" ref="AW54">
      <text>
        <t xml:space="preserve">======
ID#AAABAnhY0ro
Deleted user    (2023-12-06 23:07:28)
3 = 5 fill-in response</t>
      </text>
    </comment>
    <comment authorId="0" ref="AV54">
      <text>
        <t xml:space="preserve">======
ID#AAABAnhY0rk
Deleted user    (2023-12-06 23:07:23)
2 = 2 fill-in responses</t>
      </text>
    </comment>
    <comment authorId="0" ref="AU54">
      <text>
        <t xml:space="preserve">======
ID#AAABAnhY0rg
Deleted user    (2023-12-06 23:07:16)
1 = 1 fill-in response</t>
      </text>
    </comment>
    <comment authorId="0" ref="AY54">
      <text>
        <t xml:space="preserve">======
ID#AAABAnhY0rc
Deleted user    (2023-12-06 23:07:03)
The student will be able to fill in the remaining word of a phrase describing an ongoing activity.</t>
      </text>
    </comment>
    <comment authorId="0" ref="AX55">
      <text>
        <t xml:space="preserve">======
ID#AAABAnhY0rY
Deleted user    (2023-12-06 23:06:53)
4 = at least 4 pieces of information about self (e.g., name, age, phone, siblings, parents' names, etc.)</t>
      </text>
    </comment>
    <comment authorId="0" ref="AW55">
      <text>
        <t xml:space="preserve">======
ID#AAABAnhY0rU
Deleted user    (2023-12-06 23:06:37)
3 = 3 pieces of information</t>
      </text>
    </comment>
    <comment authorId="0" ref="AV55">
      <text>
        <t xml:space="preserve">======
ID#AAABAnhY0rQ
Deleted user    (2023-12-06 23:06:31)
2 = 2 pieces of information</t>
      </text>
    </comment>
    <comment authorId="0" ref="AU55">
      <text>
        <t xml:space="preserve">======
ID#AAABAnhY0rM
Deleted user    (2023-12-06 23:06:23)
1 = 1 piece of information about self</t>
      </text>
    </comment>
    <comment authorId="0" ref="AY55">
      <text>
        <t xml:space="preserve">======
ID#AAABAnhY0rI
Deleted user    (2023-12-06 23:06:17)
The student will be able to provide answers to questions regarding personal information.</t>
      </text>
    </comment>
    <comment authorId="0" ref="AX56">
      <text>
        <t xml:space="preserve">======
ID#AAABAnhY0rE
Deleted user    (2023-12-06 23:06:10)
4 = makes 8 animal sounds given names of animal and names 8 animals when given the sound made by the animal</t>
      </text>
    </comment>
    <comment authorId="0" ref="AW56">
      <text>
        <t xml:space="preserve">======
ID#AAABAnhY0rA
Deleted user    (2023-12-06 23:06:03)
3 = 6 sounds or names</t>
      </text>
    </comment>
    <comment authorId="0" ref="AV56">
      <text>
        <t xml:space="preserve">======
ID#AAABAnhY0q8
Deleted user    (2023-12-06 23:05:58)
2 = 4 sounds or names</t>
      </text>
    </comment>
    <comment authorId="0" ref="AU56">
      <text>
        <t xml:space="preserve">======
ID#AAABAnhY0q4
Deleted user    (2023-12-06 23:05:51)
1 = 2 sounds or names</t>
      </text>
    </comment>
    <comment authorId="0" ref="AY56">
      <text>
        <t xml:space="preserve">======
ID#AAABAnhY0q0
Deleted user    (2023-12-06 23:05:44)
The student will be able to provide the name of the animal when given the animal sound or vice versa.</t>
      </text>
    </comment>
    <comment authorId="0" ref="AX57">
      <text>
        <t xml:space="preserve">======
ID#AAABAnhY0qw
Deleted user    (2023-12-06 23:05:38)
4 = 25 signs</t>
      </text>
    </comment>
    <comment authorId="0" ref="AW57">
      <text>
        <t xml:space="preserve">======
ID#AAABAnhY0qs
Deleted user    (2023-12-06 23:05:34)
3 = 15 signs</t>
      </text>
    </comment>
    <comment authorId="0" ref="AV57">
      <text>
        <t xml:space="preserve">======
ID#AAABAnhY0qo
Deleted user    (2023-12-06 23:05:30)
2 = 5 signs</t>
      </text>
    </comment>
    <comment authorId="0" ref="AU57">
      <text>
        <t xml:space="preserve">======
ID#AAABAnhY0qk
Deleted user    (2023-12-06 23:05:25)
1 = 2 signs (Note: score = Not Applicable (NA) if the student can say more than 50 words and/or does not use ASL signs)</t>
      </text>
    </comment>
    <comment authorId="0" ref="AY57">
      <text>
        <t xml:space="preserve">======
ID#AAABAngyPA0
Deleted user    (2023-12-06 23:05:04)
The student will be able to provide a sign American Sign Language (ASL) when given an English word.</t>
      </text>
    </comment>
    <comment authorId="0" ref="AX58">
      <text>
        <t xml:space="preserve">======
ID#AAABAngyPAw
Deleted user    (2023-12-06 23:04:47)
4 = 10 or more fill-in responses</t>
      </text>
    </comment>
    <comment authorId="0" ref="AW58">
      <text>
        <t xml:space="preserve">======
ID#AAABAngyPAs
Deleted user    (2023-12-06 23:04:41)
3 = 5 fill-in responses</t>
      </text>
    </comment>
    <comment authorId="0" ref="AV58">
      <text>
        <t xml:space="preserve">======
ID#AAABAngyPAo
Deleted user    (2023-12-06 23:04:35)
2 = 2 fill-in responses</t>
      </text>
    </comment>
    <comment authorId="0" ref="AU58">
      <text>
        <t xml:space="preserve">======
ID#AAABAngyPAk
Deleted user    (2023-12-06 23:04:31)
1 = 1 fill-in response</t>
      </text>
    </comment>
    <comment authorId="0" ref="AY58">
      <text>
        <t xml:space="preserve">======
ID#AAABAngyPAg
Deleted user    (2023-12-06 23:04:17)
The student will be able to complete an open-ended phrase by supplying the missing word(s) regarding fun items and activities.</t>
      </text>
    </comment>
    <comment authorId="0" ref="AX59">
      <text>
        <t xml:space="preserve">======
ID#AAABAngyPAc
Deleted user    (2023-12-06 23:04:08)
4 = at least 3 phrases from 6 songs</t>
      </text>
    </comment>
    <comment authorId="0" ref="AW59">
      <text>
        <t xml:space="preserve">======
ID#AAABAngyPAY
Deleted user    (2023-12-06 23:03:59)
3 = 3 words from 3 songs</t>
      </text>
    </comment>
    <comment authorId="0" ref="AV59">
      <text>
        <t xml:space="preserve">======
ID#AAABAngyPAU
Deleted user    (2023-12-06 23:03:53)
2 = 2 words from 2 songs</t>
      </text>
    </comment>
    <comment authorId="0" ref="AU59">
      <text>
        <t xml:space="preserve">======
ID#AAABAngyPAQ
Deleted user    (2023-12-06 23:03:46)
1 = a word from 2 songs</t>
      </text>
    </comment>
    <comment authorId="0" ref="AY59">
      <text>
        <t xml:space="preserve">======
ID#AAABAngyPAM
Deleted user    (2023-12-06 23:03:37)
While others are singing a song, the student will be able to fill in some words and phrases of songs.</t>
      </text>
    </comment>
    <comment authorId="0" ref="AQ13">
      <text>
        <t xml:space="preserve">======
ID#AAABAngyPAI
Deleted user    (2023-12-06 23:02:22)
2 = spontaneously labels items or actions at least 20 times per day</t>
      </text>
    </comment>
    <comment authorId="0" ref="AO13">
      <text>
        <t xml:space="preserve">======
ID#AAABAngyPAE
Deleted user    (2023-12-06 23:02:15)
1 = spontaneously labels items or actions at least 10 times per day</t>
      </text>
    </comment>
    <comment authorId="0" ref="AS13">
      <text>
        <t xml:space="preserve">======
ID#AAABAngyPAA
Deleted user    (2023-12-06 23:02:08)
The student will spontaneously label items and events throughout the day.</t>
      </text>
    </comment>
    <comment authorId="0" ref="AR14">
      <text>
        <t xml:space="preserve">======
ID#AAABAngyO_8
Deleted user    (2023-12-06 23:01:53)
4 = 10 labels</t>
      </text>
    </comment>
    <comment authorId="0" ref="AQ14">
      <text>
        <t xml:space="preserve">======
ID#AAABAngyO_4
Deleted user    (2023-12-06 23:01:49)
3 = 6 labels</t>
      </text>
    </comment>
    <comment authorId="0" ref="AP14">
      <text>
        <t xml:space="preserve">======
ID#AAABAngyO_0
Deleted user    (2023-12-06 23:01:44)
2 = 4 labels</t>
      </text>
    </comment>
    <comment authorId="0" ref="AO14">
      <text>
        <t xml:space="preserve">======
ID#AAABAngyO_w
Deleted user    (2023-12-06 23:01:40)
1 = 2 labels</t>
      </text>
    </comment>
    <comment authorId="0" ref="AS14">
      <text>
        <t xml:space="preserve">======
ID#AAABAngyO_s
Deleted user    (2023-12-06 23:01:33)
The student will be able to label the nature of ongoing social interactions (e.g., playing, arguing).</t>
      </text>
    </comment>
    <comment authorId="0" ref="AQ15">
      <text>
        <t xml:space="preserve">======
ID#AAABAngyO_o
Deleted user    (2023-12-06 23:01:25)
2 = when spontaneously labeling items, the student will include a carrier phrase at least half of all spontaneous labels and uses at least 2 different carrier phrases</t>
      </text>
    </comment>
    <comment authorId="0" ref="AO15">
      <text>
        <t xml:space="preserve">======
ID#AAABAngyO_k
Deleted user    (2023-12-06 23:01:14)
1 = when prompted, the student can label items using at least 2 different phrases</t>
      </text>
    </comment>
    <comment authorId="0" ref="AS15">
      <text>
        <t xml:space="preserve">======
ID#AAABAngyO_g
Deleted user    (2023-12-06 23:01:07)
The student will be able to use a variety of carrier phrases when using labels containing at least three separate components and will frequently use those carrier phrases without prompting.</t>
      </text>
    </comment>
    <comment authorId="0" ref="AR16">
      <text>
        <t xml:space="preserve">======
ID#AAABAngyO_c
Deleted user    (2023-12-06 23:00:59)
4 = at least 6 words with 4 different parts of speech</t>
      </text>
    </comment>
    <comment authorId="0" ref="AQ16">
      <text>
        <t xml:space="preserve">======
ID#AAABAngyO_Y
Deleted user    (2023-12-06 23:00:53)
3 = at least 5 words with 3 different parts</t>
      </text>
    </comment>
    <comment authorId="0" ref="AP16">
      <text>
        <t xml:space="preserve">======
ID#AAABAngyO_U
Deleted user    (2023-12-06 23:00:47)
2 = at least 4 words with 3 different parts</t>
      </text>
    </comment>
    <comment authorId="0" ref="AO16">
      <text>
        <t xml:space="preserve">======
ID#AAABAngyO_Q
Deleted user    (2023-12-06 23:00:36)
1 = at least 3 words with 3 different parts (noun, verb, adjective, pronoun, adverb, article)</t>
      </text>
    </comment>
    <comment authorId="0" ref="AS16">
      <text>
        <t xml:space="preserve">======
ID#AAABAngyO_M
Deleted user    (2023-12-06 23:00:26)
The student will emit labels containing at least three separate components.</t>
      </text>
    </comment>
    <comment authorId="0" ref="AR17">
      <text>
        <t xml:space="preserve">======
ID#AAABAngyO_I
Deleted user    (2023-12-06 23:00:19)
4 = can label his own bodily conditions, emotional conditions, visual/auditory/touch/taste stimuli not perceived by others</t>
      </text>
    </comment>
    <comment authorId="0" ref="AQ17">
      <text>
        <t xml:space="preserve">======
ID#AAABAngyO_E
Deleted user    (2023-12-06 23:00:11)
3 = 3 of the above</t>
      </text>
    </comment>
    <comment authorId="0" ref="AP17">
      <text>
        <t xml:space="preserve">======
ID#AAABAngyO_A
Deleted user    (2023-12-06 23:00:05)
2 = 2 of the above</t>
      </text>
    </comment>
    <comment authorId="0" ref="AO17">
      <text>
        <t xml:space="preserve">======
ID#AAABAngyO-8
Deleted user    (2023-12-06 22:59:42)
1 = any one of the above</t>
      </text>
    </comment>
    <comment authorId="0" ref="AS17">
      <text>
        <t xml:space="preserve">======
ID#AAABAngyO-4
Deleted user    (2023-12-06 22:59:35)
The student will be able to label internal events and emotions which are not directly observable by others.</t>
      </text>
    </comment>
    <comment authorId="0" ref="AR18">
      <text>
        <t xml:space="preserve">======
ID#AAABAngyO-0
Deleted user    (2023-12-06 22:59:29)
4 = at least 4 emotions (actual examples and pictures)</t>
      </text>
    </comment>
    <comment authorId="0" ref="AQ18">
      <text>
        <t xml:space="preserve">======
ID#AAABAngyO-w
Deleted user    (2023-12-06 22:59:15)
3 = at least 3 emotions (actual examples or pictures)</t>
      </text>
    </comment>
    <comment authorId="0" ref="AP18">
      <text>
        <t xml:space="preserve">======
ID#AAABAngyO-s
Deleted user    (2023-12-06 22:59:09)
2 = at least 2 emotions</t>
      </text>
    </comment>
    <comment authorId="0" ref="AO18">
      <text>
        <t xml:space="preserve">======
ID#AAABAngyO-o
Deleted user    (2023-12-06 22:59:02)
1 = at least 1 emotion (actual example or picture)</t>
      </text>
    </comment>
    <comment authorId="0" ref="AS18">
      <text>
        <t xml:space="preserve">======
ID#AAABAngyO-k
Deleted user    (2023-12-06 22:58:51)
Student will be able to label
ongoing facial and behavioral examples of emotions and pictures of faces depicting various emotions.</t>
      </text>
    </comment>
    <comment authorId="0" ref="AR19">
      <text>
        <t xml:space="preserve">======
ID#AAABAngyO-g
Deleted user    (2023-12-06 22:55:42)
4 = at least 10 adverbs</t>
      </text>
    </comment>
    <comment authorId="0" ref="AQ19">
      <text>
        <t xml:space="preserve">======
ID#AAABAngyO-c
Deleted user    (2023-12-06 22:55:34)
3 = at least 6</t>
      </text>
    </comment>
    <comment authorId="0" ref="AP19">
      <text>
        <t xml:space="preserve">======
ID#AAABAngyO-Y
Deleted user    (2023-12-06 22:55:29)
2 = at least 4</t>
      </text>
    </comment>
    <comment authorId="0" ref="AO19">
      <text>
        <t xml:space="preserve">======
ID#AAABAngyO-U
Deleted user    (2023-12-06 22:55:24)
1 = 2 adverbs</t>
      </text>
    </comment>
    <comment authorId="0" ref="AS19">
      <text>
        <t xml:space="preserve">======
ID#AAABAngyO-Q
Deleted user    (2023-12-06 22:55:19)
The student will label a variety of adverbs.</t>
      </text>
    </comment>
    <comment authorId="0" ref="AQ20">
      <text>
        <t xml:space="preserve">======
ID#AAABAngJguY
Deleted user    (2023-12-06 22:55:09)
2 = can label items given their
classification and another descriptor (action performing, location, size, color, etc.)</t>
      </text>
    </comment>
    <comment authorId="0" ref="AO20">
      <text>
        <t xml:space="preserve">======
ID#AAABAngJguU
Deleted user    (2023-12-06 22:54:53)
1 = can label items given either their classification or another descriptor (action performing, location, size, color, etc.)</t>
      </text>
    </comment>
    <comment authorId="0" ref="AS20">
      <text>
        <t xml:space="preserve">======
ID#AAABAngJguQ
Deleted user    (2023-12-06 22:54:10)
When provided with information regarding a certain part of a scene, the student will be able to label specified parts of pictures.</t>
      </text>
    </comment>
    <comment authorId="0" ref="AQ21">
      <text>
        <t xml:space="preserve">======
ID#AAABAngJguM
Deleted user    (2023-12-06 22:54:01)
2 = labels at least 4 aspects of a picture including at least one depicted action or the label for the
total scene</t>
      </text>
    </comment>
    <comment authorId="0" ref="AO21">
      <text>
        <t xml:space="preserve">======
ID#AAABAngJguI
Deleted user    (2023-12-06 22:53:45)
1 = can label at least one depicted action or the label for the total scene</t>
      </text>
    </comment>
    <comment authorId="0" ref="AS21">
      <text>
        <t xml:space="preserve">======
ID#AAABAngJguE
Deleted user    (2023-12-06 22:53:36)
When shown a picture of a scene or an activity and asked to "tell me about this picture"; the student will be able to label and describe the event, items, and activities presented in the scene.</t>
      </text>
    </comment>
    <comment authorId="0" ref="AQ22">
      <text>
        <t xml:space="preserve">======
ID#AAABAngJguA
Deleted user    (2023-12-06 22:53:26)
2 = the student will include a carrier phrase at least half of all spontaneous labels using pronouns and uses at least 2 different carrier phrases</t>
      </text>
    </comment>
    <comment authorId="0" ref="AO22">
      <text>
        <t xml:space="preserve">======
ID#AAABAngJgt8
Deleted user    (2023-12-06 22:53:17)
1 = when prompted, student can use at least 2 different phrases to label items using pronouns</t>
      </text>
    </comment>
    <comment authorId="0" ref="AS22">
      <text>
        <t xml:space="preserve">======
ID#AAABAngJgt4
Deleted user    (2023-12-06 22:53:09)
The student will be able to use a carrier phrase when using pronouns and will frequently use those carrier phrases without prompting.</t>
      </text>
    </comment>
    <comment authorId="0" ref="AR23">
      <text>
        <t xml:space="preserve">======
ID#AAABAngJgt0
Deleted user    (2023-12-06 22:53:01)
4 = at least 8 pronouns</t>
      </text>
    </comment>
    <comment authorId="0" ref="AQ23">
      <text>
        <t xml:space="preserve">======
ID#AAABAngJgtw
Deleted user    (2023-12-06 22:52:54)
3 = at least 5 pronouns</t>
      </text>
    </comment>
    <comment authorId="0" ref="AP23">
      <text>
        <t xml:space="preserve">======
ID#AAABAngJgts
Deleted user    (2023-12-06 22:52:46)
2 = at least 3 pronouns</t>
      </text>
    </comment>
    <comment authorId="0" ref="AO23">
      <text>
        <t xml:space="preserve">======
ID#AAABAngJgto
Deleted user    (2023-12-06 22:52:36)
1 = at least 1 pronoun</t>
      </text>
    </comment>
    <comment authorId="0" ref="AS23">
      <text>
        <t xml:space="preserve">======
ID#AAABAngJgtk
Deleted user    (2023-12-06 22:52:28)
The student will be able to label pronouns.</t>
      </text>
    </comment>
    <comment authorId="0" ref="AQ24">
      <text>
        <t xml:space="preserve">======
ID#AAABAngJgtg
Deleted user    (2023-12-06 22:52:23)
2 = the student will include a carrier phrase at least half of all spontaneous labels using prepositions and uses at least 2 different carrier phrases</t>
      </text>
    </comment>
    <comment authorId="0" ref="AO24">
      <text>
        <t xml:space="preserve">======
ID#AAABAngJgtc
Deleted user    (2023-12-06 22:52:11)
1 = when prompted, student can use at least 2 different phrases to label the position of items</t>
      </text>
    </comment>
    <comment authorId="0" ref="AS24">
      <text>
        <t xml:space="preserve">======
ID#AAABAngJgtY
Deleted user    (2023-12-06 22:52:02)
The student will be able to use a carrier phrase when using prepositions and will frequently use those carrier phrases without prompting.</t>
      </text>
    </comment>
    <comment authorId="0" ref="AR25">
      <text>
        <t xml:space="preserve">======
ID#AAABAngJgs4
Deleted user    (2023-12-06 22:51:54)
4 = at least 10 prepositions</t>
      </text>
    </comment>
    <comment authorId="0" ref="AQ25">
      <text>
        <t xml:space="preserve">======
ID#AAABAngJgs0
Deleted user    (2023-12-06 22:51:47)
3 = at least 6</t>
      </text>
    </comment>
    <comment authorId="0" ref="AP25">
      <text>
        <t xml:space="preserve">======
ID#AAABAngJgsw
Deleted user    (2023-12-06 22:51:41)
2 = at least 4</t>
      </text>
    </comment>
    <comment authorId="0" ref="AO25">
      <text>
        <t xml:space="preserve">======
ID#AAABAngJgss
Deleted user    (2023-12-06 22:51:36)
1 = 2 prepositions</t>
      </text>
    </comment>
    <comment authorId="0" ref="AS25">
      <text>
        <t xml:space="preserve">======
ID#AAABAngJgso
Deleted user    (2023-12-06 22:51:22)
The student will be able to label the position of an item in relation to other items.</t>
      </text>
    </comment>
    <comment authorId="0" ref="AQ26">
      <text>
        <t xml:space="preserve">======
ID#AAABAngJgsk
Deleted user    (2023-12-06 22:50:40)
2 = when spontaneously labeling items, the student will include a carrier phrase at least half of all spontaneous labels and uses at least 2 different carrier phrases</t>
      </text>
    </comment>
    <comment authorId="0" ref="AO26">
      <text>
        <t xml:space="preserve">======
ID#AAABAngJgsg
Deleted user    (2023-12-06 22:50:33)
1 = when prompted, the student can label items using at least 2 different phrases</t>
      </text>
    </comment>
    <comment authorId="0" ref="AS26">
      <text>
        <t xml:space="preserve">======
ID#AAABAngJgsc
Deleted user    (2023-12-06 22:50:24)
The student will use a carrier phrase when labeling combinations of nouns with verbs or adjectives and will frequently use those carrier phrases without prompting.</t>
      </text>
    </comment>
    <comment authorId="0" ref="AR27">
      <text>
        <t xml:space="preserve">======
ID#AAABAngJgsY
Deleted user    (2023-12-06 22:50:11)
4 = at least 8 sounds</t>
      </text>
    </comment>
    <comment authorId="0" ref="AQ27">
      <text>
        <t xml:space="preserve">======
ID#AAABAngJgsU
Deleted user    (2023-12-06 22:50:05)
3 = at least 6 sounds</t>
      </text>
    </comment>
    <comment authorId="0" ref="AP27">
      <text>
        <t xml:space="preserve">======
ID#AAABAngJgsQ
Deleted user    (2023-12-06 22:49:58)
2 = at least 4 sounds</t>
      </text>
    </comment>
    <comment authorId="0" ref="AO27">
      <text>
        <t xml:space="preserve">======
ID#AAABAngJgsM
Deleted user    (2023-12-06 22:49:52)
1 = at least 2 sounds</t>
      </text>
    </comment>
    <comment authorId="0" ref="AS27">
      <text>
        <t xml:space="preserve">======
ID#AAABAngJgsI
Deleted user    (2023-12-06 22:49:43)
The student will label common sounds in his environment.</t>
      </text>
    </comment>
    <comment authorId="0" ref="AQ28">
      <text>
        <t xml:space="preserve">======
ID#AAABAngJgsE
Deleted user    (2023-12-06 22:49:34)
2 = can label most significant objects that are more than 100 feet away</t>
      </text>
    </comment>
    <comment authorId="0" ref="AO28">
      <text>
        <t xml:space="preserve">======
ID#AAABAngJgsA
Deleted user    (2023-12-06 22:49:27)
1 = can label many significant objects that are at least 10 feet away</t>
      </text>
    </comment>
    <comment authorId="0" ref="AS28">
      <text>
        <t xml:space="preserve">======
ID#AAABAngJgr8
Deleted user    (2023-12-06 22:49:14)
The student will be able to label significant objects located at a distance when others point to the item.</t>
      </text>
    </comment>
    <comment authorId="0" ref="AR29">
      <text>
        <t xml:space="preserve">======
ID#AAABAngJgr4
Deleted user    (2023-12-06 22:48:53)
4 = 4 or more labels</t>
      </text>
    </comment>
    <comment authorId="0" ref="AQ29">
      <text>
        <t xml:space="preserve">======
ID#AAABAngJgr0
Deleted user    (2023-12-06 22:48:48)
3 = 3 labels</t>
      </text>
    </comment>
    <comment authorId="0" ref="AP29">
      <text>
        <t xml:space="preserve">======
ID#AAABAngJgrw
Deleted user    (2023-12-06 22:48:41)
2 = 2 labels</t>
      </text>
    </comment>
    <comment authorId="0" ref="AO29">
      <text>
        <t xml:space="preserve">======
ID#AAABAngJgrs
Deleted user    (2023-12-06 22:48:35)
1 = 1 label</t>
      </text>
    </comment>
    <comment authorId="0" ref="AS29">
      <text>
        <t xml:space="preserve">======
ID#AAABAngJgro
Deleted user    (2023-12-06 22:48:30)
The student will be able to label pictures of common community helpers in his environment.</t>
      </text>
    </comment>
    <comment authorId="0" ref="AQ30">
      <text>
        <t xml:space="preserve">======
ID#AAABAngJgrk
Deleted user    (2023-12-06 22:48:25)
2 = can identify at least 3 different obvious problem situations</t>
      </text>
    </comment>
    <comment authorId="0" ref="AO30">
      <text>
        <t xml:space="preserve">======
ID#AAABAngJgrg
Deleted user    (2023-12-06 22:48:18)
1 = can identify at least 1 obvious problem situation</t>
      </text>
    </comment>
    <comment authorId="0" ref="AS30">
      <text>
        <t xml:space="preserve">======
ID#AAABAngJgrc
Deleted user    (2023-12-06 22:48:08)
The student will be able to identify an obvious problem or emergency.</t>
      </text>
    </comment>
    <comment authorId="0" ref="AR31">
      <text>
        <t xml:space="preserve">======
ID#AAABAngJgrY
Deleted user    (2023-12-06 22:46:18)
4 = at least 3 examples from 10 categories (can be related to functions, features, or classes of items)</t>
      </text>
    </comment>
    <comment authorId="0" ref="AQ31">
      <text>
        <t xml:space="preserve">======
ID#AAABAnf4sNE
Deleted user    (2023-12-06 22:46:07)
3 = 3 examples from at least 5 categories</t>
      </text>
    </comment>
    <comment authorId="0" ref="AP31">
      <text>
        <t xml:space="preserve">======
ID#AAABAnf4sNA
Deleted user    (2023-12-06 22:46:01)
2 = 3 examples from at least 3 categories</t>
      </text>
    </comment>
    <comment authorId="0" ref="AO31">
      <text>
        <t xml:space="preserve">======
ID#AAABAnf4sM8
Deleted user    (2023-12-06 22:45:55)
1 = 3 examples from at least 2 categories (can be related to functions, features, or classes of items)</t>
      </text>
    </comment>
    <comment authorId="0" ref="AS31">
      <text>
        <t xml:space="preserve">======
ID#AAABAnf4sM4
Deleted user    (2023-12-06 22:45:40)
When presented with a set of
items in which all except one of the items belongs to a specified category of items (can be based on functions, features or class), the student will be able to name the item which does not belong with that particular set of items.</t>
      </text>
    </comment>
    <comment authorId="0" ref="AQ32">
      <text>
        <t xml:space="preserve">======
ID#AAABAnf4sM0
Deleted user    (2023-12-06 22:45:32)
2 = identifies at least 5 examples in which parts of items of a picture which are missing and 5 examples in which parts are obviously incorrect</t>
      </text>
    </comment>
    <comment authorId="0" ref="AO32">
      <text>
        <t xml:space="preserve">======
ID#AAABAnf4sMw
Deleted user    (2023-12-06 22:45:21)
1 = can identify at least 5 parts of items of a picture which are either missing or obviously incorrect</t>
      </text>
    </comment>
    <comment authorId="0" ref="AS32">
      <text>
        <t xml:space="preserve">======
ID#AAABAnf4sMs
Deleted user    (2023-12-06 22:45:08)
The student will be able to label parts of items of a given picture which are either missing or obviously incorrect (e.g., a car without wheels).</t>
      </text>
    </comment>
    <comment authorId="0" ref="AR33">
      <text>
        <t xml:space="preserve">======
ID#AAABAnf4sMo
Deleted user    (2023-12-06 22:44:57)
4 = 5 items from 10 categories</t>
      </text>
    </comment>
    <comment authorId="0" ref="AQ33">
      <text>
        <t xml:space="preserve">======
ID#AAABAnf4sMk
Deleted user    (2023-12-06 22:44:51)
3 = 3 items from 5 categories</t>
      </text>
    </comment>
    <comment authorId="0" ref="AP33">
      <text>
        <t xml:space="preserve">======
ID#AAABAnf4sMg
Deleted user    (2023-12-06 22:44:44)
2 = 2 items from 5 categories</t>
      </text>
    </comment>
    <comment authorId="0" ref="AO33">
      <text>
        <t xml:space="preserve">======
ID#AAABAnf4sMc
Deleted user    (2023-12-06 22:44:38)
1 = 2 items from 2 categories</t>
      </text>
    </comment>
    <comment authorId="0" ref="AS33">
      <text>
        <t xml:space="preserve">======
ID#AAABAnf4sMY
Deleted user    (2023-12-06 22:44:26)
The student will be able to look at a picture or set of actual items and be able to label the class of the set of items.</t>
      </text>
    </comment>
    <comment authorId="0" ref="AQ34">
      <text>
        <t xml:space="preserve">======
ID#AAABAnf4sMU
Deleted user    (2023-12-06 22:44:18)
2 = can label at least 3 aspects of an item when asked a specific question about the item</t>
      </text>
    </comment>
    <comment authorId="0" ref="AO34">
      <text>
        <t xml:space="preserve">======
ID#AAABAnf4sMQ
Deleted user    (2023-12-06 22:44:10)
1 = can label at least 2 aspects (name, function, color, ownership) of an item when asked a specific question about the item</t>
      </text>
    </comment>
    <comment authorId="0" ref="AS34">
      <text>
        <t xml:space="preserve">======
ID#AAABAnf4sMM
Deleted user    (2023-12-06 22:43:56)
The student will be able to discriminate whether he is being asked to label the name, function, color, or ownership of an item.</t>
      </text>
    </comment>
    <comment authorId="0" ref="AR35">
      <text>
        <t xml:space="preserve">======
ID#AAABAnf4sMI
Deleted user    (2023-12-06 22:43:30)
4 = 5 items from 10 categories</t>
      </text>
    </comment>
    <comment authorId="0" ref="AQ35">
      <text>
        <t xml:space="preserve">======
ID#AAABAnf4sME
Deleted user    (2023-12-06 22:43:23)
3 = 3 items from 5 categories</t>
      </text>
    </comment>
    <comment authorId="0" ref="AP35">
      <text>
        <t xml:space="preserve">======
ID#AAABAnf4sMA
Deleted user    (2023-12-06 22:43:15)
2 = 2 items from 5 categories</t>
      </text>
    </comment>
    <comment authorId="0" ref="AO35">
      <text>
        <t xml:space="preserve">======
ID#AAABAnf4sL8
Deleted user    (2023-12-06 22:43:08)
1 = 2 items from 2 categories</t>
      </text>
    </comment>
    <comment authorId="0" ref="AS35">
      <text>
        <t xml:space="preserve">======
ID#AAABAnf4sL4
Deleted user    (2023-12-06 22:42:56)
The student will be able to label the class of an individual item.</t>
      </text>
    </comment>
    <comment authorId="0" ref="AR36">
      <text>
        <t xml:space="preserve">======
ID#AAABAnf4sL0
Deleted user    (2023-12-06 22:42:49)
4 = label a total of at least 25 functions including at least 4 examples of at least 6 functions</t>
      </text>
    </comment>
    <comment authorId="0" ref="AQ36">
      <text>
        <t xml:space="preserve">======
ID#AAABAnf4sLw
Deleted user    (2023-12-06 22:42:25)
3 = at least 10</t>
      </text>
    </comment>
    <comment authorId="0" ref="AP36">
      <text>
        <t xml:space="preserve">======
ID#AAABAnf4sLs
Deleted user    (2023-12-06 22:42:21)
2 = at least 5</t>
      </text>
    </comment>
    <comment authorId="0" ref="AO36">
      <text>
        <t xml:space="preserve">======
ID#AAABAnf4sLo
Deleted user    (2023-12-06 22:42:16)
1 = 2 items</t>
      </text>
    </comment>
    <comment authorId="0" ref="AS36">
      <text>
        <t xml:space="preserve">======
ID#AAABAnf4sLk
Deleted user    (2023-12-06 22:42:08)
The student will be able to label the function of items when asked "What do you do with this?".</t>
      </text>
    </comment>
    <comment authorId="0" ref="AQ37">
      <text>
        <t xml:space="preserve">======
ID#AAABAnf4sLg
Deleted user    (2023-12-06 22:41:49)
2 = yes &amp; no regarding features of items present</t>
      </text>
    </comment>
    <comment authorId="0" ref="AO37">
      <text>
        <t xml:space="preserve">======
ID#AAABAnf4sLc
Deleted user    (2023-12-06 22:41:40)
1 = yes &amp; no with regard to the label of items present</t>
      </text>
    </comment>
    <comment authorId="0" ref="AS37">
      <text>
        <t xml:space="preserve">======
ID#AAABAnf4sLY
Deleted user    (2023-12-06 22:41:28)
The student will be able to
answer "Yes" or "No" or move his head to indicate "Yes" or
"No" to identify the name of an item or to identify if an item or activity meets a pre-specified criterion.</t>
      </text>
    </comment>
    <comment authorId="0" ref="AR38">
      <text>
        <t xml:space="preserve">======
ID#AAABAnf4sLU
Deleted user    (2023-12-06 22:40:49)
4 = uses at least 10 adjectives with a variety of nouns</t>
      </text>
    </comment>
    <comment authorId="0" ref="AQ38">
      <text>
        <t xml:space="preserve">======
ID#AAABAnf4sLQ
Deleted user    (2023-12-06 22:40:41)
3 = at least 5 adjectives with a variety of nouns</t>
      </text>
    </comment>
    <comment authorId="0" ref="AP38">
      <text>
        <t xml:space="preserve">======
ID#AAABAnf4sLM
Deleted user    (2023-12-06 22:40:34)
2 = at least 5 noun-adjective pairs</t>
      </text>
    </comment>
    <comment authorId="0" ref="AO38">
      <text>
        <t xml:space="preserve">======
ID#AAABAnf4sLI
Deleted user    (2023-12-06 22:40:29)
1 = at least 2 noun-adjective pairs</t>
      </text>
    </comment>
    <comment authorId="0" ref="AS38">
      <text>
        <t xml:space="preserve">======
ID#AAABAnf4sLE
Deleted user    (2023-12-06 22:40:19)
The student will be able to label an adjective and a noun in combination.</t>
      </text>
    </comment>
    <comment authorId="0" ref="AR39">
      <text>
        <t xml:space="preserve">======
ID#AAABAnf4sLA
Deleted user    (2023-12-06 22:40:07)
4 = uses at least 10 verbs with a variety of nouns</t>
      </text>
    </comment>
    <comment authorId="0" ref="AQ39">
      <text>
        <t xml:space="preserve">======
ID#AAABAnf4sK8
Deleted user    (2023-12-06 22:40:00)
3 = uses at least 5 verbs with a variety of nouns</t>
      </text>
    </comment>
    <comment authorId="0" ref="AP39">
      <text>
        <t xml:space="preserve">======
ID#AAABAnf4sK4
Deleted user    (2023-12-06 22:39:52)
2 = at least 5 noun-verb pairs</t>
      </text>
    </comment>
    <comment authorId="0" ref="AO39">
      <text>
        <t xml:space="preserve">======
ID#AAABAnf4sK0
Deleted user    (2023-12-06 22:39:45)
1 = at least 2 noun-verb pairs</t>
      </text>
    </comment>
    <comment authorId="0" ref="AS39">
      <text>
        <t xml:space="preserve">======
ID#AAABAnf4sKw
Deleted user    (2023-12-06 22:39:30)
The student will be able to label a noun and a verb in combination.</t>
      </text>
    </comment>
    <comment authorId="0" ref="AQ40">
      <text>
        <t xml:space="preserve">======
ID#AAABAnf4sKs
Deleted user    (2023-12-06 22:39:24)
2 = when spontaneously labeling items, the student will include a carrier phrase for at least half of all spontaneous labels and uses at least 2 different carrier phrases</t>
      </text>
    </comment>
    <comment authorId="0" ref="AO40">
      <text>
        <t xml:space="preserve">======
ID#AAABAnf4sKo
Deleted user    (2023-12-06 22:39:15)
1 = when prompted, the student
can label items using at least 2 different phrases</t>
      </text>
    </comment>
    <comment authorId="0" ref="AS40">
      <text>
        <t xml:space="preserve">======
ID#AAABAnf4sKk
Deleted user    (2023-12-06 22:39:08)
The student will be able to use a variety of carrier phrases when labeling multiple items, and will frequently use those carrier phrases without prompting.</t>
      </text>
    </comment>
    <comment authorId="0" ref="AR41">
      <text>
        <t xml:space="preserve">======
ID#AAABAne62hQ
Deleted user    (2023-12-06 22:38:39)
4 = at least 20 pairs of items</t>
      </text>
    </comment>
    <comment authorId="0" ref="AQ41">
      <text>
        <t xml:space="preserve">======
ID#AAABAne62hM
Deleted user    (2023-12-06 22:38:32)
3 = at least 10 pairs of items</t>
      </text>
    </comment>
    <comment authorId="0" ref="AP41">
      <text>
        <t xml:space="preserve">======
ID#AAABAne62hI
Deleted user    (2023-12-06 22:38:25)
2 = at least 5 pairs of items</t>
      </text>
    </comment>
    <comment authorId="0" ref="AO41">
      <text>
        <t xml:space="preserve">======
ID#AAABAne62hE
Deleted user    (2023-12-06 22:38:19)
1 = at least 2 pairs of items</t>
      </text>
    </comment>
    <comment authorId="0" ref="AS41">
      <text>
        <t xml:space="preserve">======
ID#AAABAne62hA
Deleted user    (2023-12-06 22:38:10)
The student will be able to label more than one item presented on a picture card.</t>
      </text>
    </comment>
    <comment authorId="0" ref="AR42">
      <text>
        <t xml:space="preserve">======
ID#AAABAne62g8
Deleted user    (2023-12-06 22:38:02)
4 = at least 20 pairs of items</t>
      </text>
    </comment>
    <comment authorId="0" ref="AQ42">
      <text>
        <t xml:space="preserve">======
ID#AAABAne62g4
Deleted user    (2023-12-06 22:37:54)
3 = at least 10 pairs of items</t>
      </text>
    </comment>
    <comment authorId="0" ref="AP42">
      <text>
        <t xml:space="preserve">======
ID#AAABAne62g0
Deleted user    (2023-12-06 22:37:47)
2 = at least 5 pairs of items</t>
      </text>
    </comment>
    <comment authorId="0" ref="AO42">
      <text>
        <t xml:space="preserve">======
ID#AAABAne62gw
Deleted user    (2023-12-06 22:37:39)
1 = at least 2 pairs of items</t>
      </text>
    </comment>
    <comment authorId="0" ref="AS42">
      <text>
        <t xml:space="preserve">======
ID#AAABAne62gs
Deleted user    (2023-12-06 22:37:30)
The student will be able to label a set of items given to him.</t>
      </text>
    </comment>
    <comment authorId="0" ref="AR43">
      <text>
        <t xml:space="preserve">======
ID#AAABAne62go
Deleted user    (2023-12-06 22:37:23)
4 = at least 5 items from 4 classes</t>
      </text>
    </comment>
    <comment authorId="0" ref="AQ43">
      <text>
        <t xml:space="preserve">======
ID#AAABAne62gk
Deleted user    (2023-12-06 22:37:17)
3 = at least 5 items from 3 classes</t>
      </text>
    </comment>
    <comment authorId="0" ref="AP43">
      <text>
        <t xml:space="preserve">======
ID#AAABAne62gg
Deleted user    (2023-12-06 22:37:09)
2 = at least 5 items from 2 classes</t>
      </text>
    </comment>
    <comment authorId="0" ref="AO43">
      <text>
        <t xml:space="preserve">======
ID#AAABAne62gc
Deleted user    (2023-12-06 22:37:03)
1 = at least 5 items from 1 class</t>
      </text>
    </comment>
    <comment authorId="0" ref="AS43">
      <text>
        <t xml:space="preserve">======
ID#AAABAne62gY
Deleted user    (2023-12-06 22:36:55)
The student will be able to label items when only told the class of the item.</t>
      </text>
    </comment>
    <comment authorId="0" ref="AR44">
      <text>
        <t xml:space="preserve">======
ID#AAABAne62gU
Deleted user    (2023-12-06 22:36:50)
4 = label a total of at least 25 items including at least 2 examples of at least 6 features</t>
      </text>
    </comment>
    <comment authorId="0" ref="AQ44">
      <text>
        <t xml:space="preserve">======
ID#AAABAne62gQ
Deleted user    (2023-12-06 22:36:41)
3 = at least 10 items</t>
      </text>
    </comment>
    <comment authorId="0" ref="AP44">
      <text>
        <t xml:space="preserve">======
ID#AAABAne62gM
Deleted user    (2023-12-06 22:36:36)
2 = at least 5 items</t>
      </text>
    </comment>
    <comment authorId="0" ref="AO44">
      <text>
        <t xml:space="preserve">======
ID#AAABAne62gI
Deleted user    (2023-12-06 22:36:29)
1 = 2 items</t>
      </text>
    </comment>
    <comment authorId="0" ref="AS44">
      <text>
        <t xml:space="preserve">======
ID#AAABAne62gE
Deleted user    (2023-12-06 22:36:17)
The student will be able to label items when only told the feature of the item.</t>
      </text>
    </comment>
    <comment authorId="0" ref="AR45">
      <text>
        <t xml:space="preserve">======
ID#AAABAne62gA
Deleted user    (2023-12-06 22:36:04)
4 = label a total of at least 25 items including at least 4 examples of at least 6 functions</t>
      </text>
    </comment>
    <comment authorId="0" ref="AQ45">
      <text>
        <t xml:space="preserve">======
ID#AAABAne62f8
Deleted user    (2023-12-06 22:35:54)
3 = at least 10 items</t>
      </text>
    </comment>
    <comment authorId="0" ref="AP45">
      <text>
        <t xml:space="preserve">======
ID#AAABAne62f4
Deleted user    (2023-12-06 22:35:49)
2 = at least 5 items</t>
      </text>
    </comment>
    <comment authorId="0" ref="AO45">
      <text>
        <t xml:space="preserve">======
ID#AAABAne62f0
Deleted user    (2023-12-06 22:35:42)
1 = 2 items</t>
      </text>
    </comment>
    <comment authorId="0" ref="AS45">
      <text>
        <t xml:space="preserve">======
ID#AAABAne62fw
Deleted user    (2023-12-06 22:35:35)
The student will be able to label items when only told the function of the item.</t>
      </text>
    </comment>
    <comment authorId="0" ref="AR46">
      <text>
        <t xml:space="preserve">======
ID#AAABAne62fs
Deleted user    (2023-12-06 22:35:29)
4 = can label at least 2 related pictures for 20 or more items</t>
      </text>
    </comment>
    <comment authorId="0" ref="AQ46">
      <text>
        <t xml:space="preserve">======
ID#AAABAne62fo
Deleted user    (2023-12-06 22:35:19)
3 = 2 related pictures for 10 items</t>
      </text>
    </comment>
    <comment authorId="0" ref="AP46">
      <text>
        <t xml:space="preserve">======
ID#AAABAne62fk
Deleted user    (2023-12-06 22:35:13)
2 = 1 related picture for 10 items</t>
      </text>
    </comment>
    <comment authorId="0" ref="AO46">
      <text>
        <t xml:space="preserve">======
ID#AAABAne62fg
Deleted user    (2023-12-06 22:35:05)
1 = can label at least 1 related picture for 5 items</t>
      </text>
    </comment>
    <comment authorId="0" ref="AS46">
      <text>
        <t xml:space="preserve">======
ID#AAABAne62fc
Deleted user    (2023-12-06 22:34:56)
When presented with an array of items or pictures and then shown another item or picture and asked, "What goes with this?," the student will be able
to label one of the items which is associated with the item being shown (e.g., says "chair" when shown picture of a table and a set of pictures including a chair, shoe and a set of keys).</t>
      </text>
    </comment>
    <comment authorId="0" ref="AR47">
      <text>
        <t xml:space="preserve">======
ID#AAABAne62fY
Deleted user    (2023-12-06 22:33:07)
4 = labels using at least 20 adjectives (including at least 3
colors, 2 shapes, and 2 sizes)</t>
      </text>
    </comment>
    <comment authorId="0" ref="AQ47">
      <text>
        <t xml:space="preserve">======
ID#AAABAne62fU
Deleted user    (2023-12-06 22:32:48)
3 = at least 10 adjectives (5 of which are not colors)</t>
      </text>
    </comment>
    <comment authorId="0" ref="AP47">
      <text>
        <t xml:space="preserve">======
ID#AAABAne62fQ
Deleted user    (2023-12-06 22:32:37)
2 = at least 5 adjectives (may be all colors)</t>
      </text>
    </comment>
    <comment authorId="0" ref="AO47">
      <text>
        <t xml:space="preserve">======
ID#AAABAne62fM
Deleted user    (2023-12-06 22:32:29)
1 = can identify at least one adjective</t>
      </text>
    </comment>
    <comment authorId="0" ref="AS47">
      <text>
        <t xml:space="preserve">======
ID#AAABAne62fI
Deleted user    (2023-12-06 22:32:19)
The student will be able to use adjectives that describe objects.</t>
      </text>
    </comment>
    <comment authorId="0" ref="AR48">
      <text>
        <t xml:space="preserve">======
ID#AAABAne62fE
Deleted user    (2023-12-06 22:32:13)
4 = 3 parts or features of 10 or more objects</t>
      </text>
    </comment>
    <comment authorId="0" ref="AQ48">
      <text>
        <t xml:space="preserve">======
ID#AAABAne62fA
Deleted user    (2023-12-06 22:32:02)
3 = 3 parts or features of 4 objects</t>
      </text>
    </comment>
    <comment authorId="0" ref="AP48">
      <text>
        <t xml:space="preserve">======
ID#AAABAne62e8
Deleted user    (2023-12-06 22:31:53)
2 = 2 parts or features of 4 objects</t>
      </text>
    </comment>
    <comment authorId="0" ref="AO48">
      <text>
        <t xml:space="preserve">======
ID#AAABAne62e4
Deleted user    (2023-12-06 22:31:38)
1 = 2 parts or features of 2 objects</t>
      </text>
    </comment>
    <comment authorId="0" ref="AS48">
      <text>
        <t xml:space="preserve">======
ID#AAABAne62e0
Deleted user    (2023-12-06 22:31:17)
The student will be able to label the parts or features of objects.</t>
      </text>
    </comment>
    <comment authorId="0" ref="AQ49">
      <text>
        <t xml:space="preserve">======
ID#AAABAne62ew
Deleted user    (2023-12-06 22:31:09)
2 = when spontaneously labeling items, the student will include a carrier phrase at least half of all spontaneous labels and uses at least 2 different carrier phrases</t>
      </text>
    </comment>
    <comment authorId="0" ref="AO49">
      <text>
        <t xml:space="preserve">======
ID#AAABAne62es
Deleted user    (2023-12-06 22:31:00)
1 = when prompted, the student can label items using at least 2 different phrases</t>
      </text>
    </comment>
    <comment authorId="0" ref="AS49">
      <text>
        <t xml:space="preserve">======
ID#AAABAne62eo
Deleted user    (2023-12-06 22:30:51)
The student will be able to use a variety of carrier phrases when labeling items, and will frequently use those carrier phrases without prompting.</t>
      </text>
    </comment>
    <comment authorId="0" ref="AQ50">
      <text>
        <t xml:space="preserve">======
ID#AAABAne62ek
Deleted user    (2023-12-06 22:30:44)
2 = readily learns the names of many new items only from hearing the name of those items used by others (no direct training)</t>
      </text>
    </comment>
    <comment authorId="0" ref="AO50">
      <text>
        <t xml:space="preserve">======
ID#AAABAne62eg
Deleted user    (2023-12-06 22:30:37)
1 = readily able to learn labels for common items when asked to name the items less than five times</t>
      </text>
    </comment>
    <comment authorId="0" ref="AS50">
      <text>
        <t xml:space="preserve">======
ID#AAABAne62ec
Deleted user    (2023-12-06 22:30:25)
The student will be able to acquire labels for many new common items or pictures of items after only hearing the name of those items used by others (no direct training).</t>
      </text>
    </comment>
    <comment authorId="0" ref="AQ51">
      <text>
        <t xml:space="preserve">======
ID#AAABAne62eY
Deleted user    (2023-12-06 22:30:17)
2 = can sequentially label at least
10 known items in 15 seconds</t>
      </text>
    </comment>
    <comment authorId="0" ref="AO51">
      <text>
        <t xml:space="preserve">======
ID#AAABAne62eU
Deleted user    (2023-12-06 22:30:09)
1 = can label 5 separate known items in 10 seconds</t>
      </text>
    </comment>
    <comment authorId="0" ref="AS51">
      <text>
        <t xml:space="preserve">======
ID#AAABAne62eQ
Deleted user    (2023-12-06 22:30:01)
The student will be able to label known items in quick succession.</t>
      </text>
    </comment>
    <comment authorId="0" ref="AR52">
      <text>
        <t xml:space="preserve">======
ID#AAABAne62eM
Deleted user    (2023-12-06 22:29:54)
4 = 20 or more labels of pictures of actions and can identify several different examples (including novel examples) of most of those actions</t>
      </text>
    </comment>
    <comment authorId="0" ref="AQ52">
      <text>
        <t xml:space="preserve">======
ID#AAABAne62eI
Deleted user    (2023-12-06 22:29:45)
3 = 10 actions</t>
      </text>
    </comment>
    <comment authorId="0" ref="AP52">
      <text>
        <t xml:space="preserve">======
ID#AAABAne62eE
Deleted user    (2023-12-06 22:29:39)
2 = 5 actions</t>
      </text>
    </comment>
    <comment authorId="0" ref="AO52">
      <text>
        <t xml:space="preserve">======
ID#AAABAne62eA
Deleted user    (2023-12-06 22:29:36)
1 = 2 actions</t>
      </text>
    </comment>
    <comment authorId="0" ref="AS52">
      <text>
        <t xml:space="preserve">======
ID#AAABAne62d8
Deleted user    (2023-12-06 22:29:27)
The student will label pictures of common actions.</t>
      </text>
    </comment>
    <comment authorId="0" ref="AR53">
      <text>
        <t xml:space="preserve">======
ID#AAABAne62d4
Deleted user    (2023-12-06 22:28:56)
4 = 20 or more labels of actions and can identify several different examples (including novel examples) of most of those actions</t>
      </text>
    </comment>
    <comment authorId="0" ref="AQ53">
      <text>
        <t xml:space="preserve">======
ID#AAABAne62d0
Deleted user    (2023-12-06 22:28:46)
3 = 10 actions</t>
      </text>
    </comment>
    <comment authorId="0" ref="AP53">
      <text>
        <t xml:space="preserve">======
ID#AAABAne62dw
Deleted user    (2023-12-06 22:28:42)
2 = 5 actions</t>
      </text>
    </comment>
    <comment authorId="0" ref="AO53">
      <text>
        <t xml:space="preserve">======
ID#AAABAne62ds
Deleted user    (2023-12-06 22:28:37)
1 = 2 actions</t>
      </text>
    </comment>
    <comment authorId="0" ref="AS53">
      <text>
        <t xml:space="preserve">======
ID#AAABAne62do
Deleted user    (2023-12-06 22:28:33)
The student will label common actions.</t>
      </text>
    </comment>
    <comment authorId="0" ref="AQ54">
      <text>
        <t xml:space="preserve">======
ID#AAABAne62dk
Deleted user    (2023-12-06 22:28:25)
2 = labels 4 or more clothing items</t>
      </text>
    </comment>
    <comment authorId="0" ref="AO54">
      <text>
        <t xml:space="preserve">======
ID#AAABAne62dg
Deleted user    (2023-12-06 22:27:57)
1 = labels 2 clothing items</t>
      </text>
    </comment>
    <comment authorId="0" ref="AS54">
      <text>
        <t xml:space="preserve">======
ID#AAABAneNi4c
Deleted user    (2023-12-06 22:27:49)
The student will be able to label clothing items.</t>
      </text>
    </comment>
    <comment authorId="0" ref="AR55">
      <text>
        <t xml:space="preserve">======
ID#AAABAneNi4Y
Deleted user    (2023-12-06 22:27:43)
4 = can label 20 or more body parts on himself or others</t>
      </text>
    </comment>
    <comment authorId="0" ref="AQ55">
      <text>
        <t xml:space="preserve">======
ID#AAABAneNi4U
Deleted user    (2023-12-06 22:27:34)
3 = 10 body parts</t>
      </text>
    </comment>
    <comment authorId="0" ref="AP55">
      <text>
        <t xml:space="preserve">======
ID#AAABAneNi4Q
Deleted user    (2023-12-06 22:27:29)
2 = 5 body parts</t>
      </text>
    </comment>
    <comment authorId="0" ref="AO55">
      <text>
        <t xml:space="preserve">======
ID#AAABAneNi4M
Deleted user    (2023-12-06 22:27:23)
1 = at least 2 body parts on himself or others</t>
      </text>
    </comment>
    <comment authorId="0" ref="AS55">
      <text>
        <t xml:space="preserve">======
ID#AAABAneNi4I
Deleted user    (2023-12-06 22:27:07)
The student will label common body parts on himself or others.</t>
      </text>
    </comment>
    <comment authorId="0" ref="AR56">
      <text>
        <t xml:space="preserve">======
ID#AAABAneNi4E
Deleted user    (2023-12-06 22:26:56)
4 = 100 or more labels of pictures of items and can identify several different examples (including novel examples) of most of those items</t>
      </text>
    </comment>
    <comment authorId="0" ref="AQ56">
      <text>
        <t xml:space="preserve">======
ID#AAABAneNi4A
Deleted user    (2023-12-06 22:26:48)
3 = 50 label of at least one example of the item</t>
      </text>
    </comment>
    <comment authorId="0" ref="AP56">
      <text>
        <t xml:space="preserve">======
ID#AAABAneNi38
Deleted user    (2023-12-06 22:26:32)
2 = 10 labels</t>
      </text>
    </comment>
    <comment authorId="0" ref="AO56">
      <text>
        <t xml:space="preserve">======
ID#AAABAneNi34
Deleted user    (2023-12-06 22:26:27)
1 = 5 labels</t>
      </text>
    </comment>
    <comment authorId="0" ref="AS56">
      <text>
        <t xml:space="preserve">======
ID#AAABAneNi30
Deleted user    (2023-12-06 22:26:22)
The student will label at least 100 pictures of items which are commonly found in his environment.</t>
      </text>
    </comment>
    <comment authorId="0" ref="AR57">
      <text>
        <t xml:space="preserve">======
ID#AAABAneNi3w
Deleted user    (2023-12-06 22:26:11)
4 = 10 or more people</t>
      </text>
    </comment>
    <comment authorId="0" ref="AQ57">
      <text>
        <t xml:space="preserve">======
ID#AAABAneNi3s
Deleted user    (2023-12-06 22:26:06)
3 = 6 people</t>
      </text>
    </comment>
    <comment authorId="0" ref="AP57">
      <text>
        <t xml:space="preserve">======
ID#AAABAneNi3o
Deleted user    (2023-12-06 22:26:02)
2 = 4 people</t>
      </text>
    </comment>
    <comment authorId="0" ref="AO57">
      <text>
        <t xml:space="preserve">======
ID#AAABAneNi3k
Deleted user    (2023-12-06 22:25:57)
1 = 2 people</t>
      </text>
    </comment>
    <comment authorId="0" ref="AS57">
      <text>
        <t xml:space="preserve">======
ID#AAABAneNi3g
Deleted user    (2023-12-06 22:25:52)
The student will label people in his environment.</t>
      </text>
    </comment>
    <comment authorId="0" ref="AR58">
      <text>
        <t xml:space="preserve">======
ID#AAABAneNi3c
Deleted user    (2023-12-06 22:25:41)
4 = 100 or more labels of items and can identify several different examples (including novel examples) of most of those items</t>
      </text>
    </comment>
    <comment authorId="0" ref="AQ58">
      <text>
        <t xml:space="preserve">======
ID#AAABAneNi3Y
Deleted user    (2023-12-06 22:25:28)
3 = 50 labels of at least one example of the item</t>
      </text>
    </comment>
    <comment authorId="0" ref="AP58">
      <text>
        <t xml:space="preserve">======
ID#AAABAneNi3U
Deleted user    (2023-12-06 22:25:20)
2 = 10 labels</t>
      </text>
    </comment>
    <comment authorId="0" ref="AO58">
      <text>
        <t xml:space="preserve">======
ID#AAABAneNi3Q
Deleted user    (2023-12-06 22:25:16)
1 = 5 labels</t>
      </text>
    </comment>
    <comment authorId="0" ref="AS58">
      <text>
        <t xml:space="preserve">======
ID#AAABAneNi3M
Deleted user    (2023-12-06 22:25:10)
The student will label at least 100 objects which are commonly found in his environment.</t>
      </text>
    </comment>
    <comment authorId="0" ref="AR59">
      <text>
        <t xml:space="preserve">======
ID#AAABAneNi3I
Deleted user    (2023-12-06 22:25:03)
4 = 10 or more labels</t>
      </text>
    </comment>
    <comment authorId="0" ref="AQ59">
      <text>
        <t xml:space="preserve">======
ID#AAABAneNi3E
Deleted user    (2023-12-06 22:24:57)
3 = 6 labels</t>
      </text>
    </comment>
    <comment authorId="0" ref="AP59">
      <text>
        <t xml:space="preserve">======
ID#AAABAneNi3A
Deleted user    (2023-12-06 22:24:54)
2 = 4 labels</t>
      </text>
    </comment>
    <comment authorId="0" ref="AO59">
      <text>
        <t xml:space="preserve">======
ID#AAABAneNi28
Deleted user    (2023-12-06 22:24:50)
1 = 2 labels</t>
      </text>
    </comment>
    <comment authorId="0" ref="AS59">
      <text>
        <t xml:space="preserve">======
ID#AAABAneNi24
Deleted user    (2023-12-06 22:24:43)
The student will label reinforcing items.</t>
      </text>
    </comment>
    <comment authorId="0" ref="AK31">
      <text>
        <t xml:space="preserve">======
ID#AAABAneNi20
Deleted user    (2023-12-06 22:20:19)
2 = spontaneously requests objects, actions, or information at least 20 times per day</t>
      </text>
    </comment>
    <comment authorId="0" ref="AI31">
      <text>
        <t xml:space="preserve">======
ID#AAABAneNi2w
Deleted user    (2023-12-06 22:20:08)
1 = spontaneously requests objects, actions, or information at least 10 times per day</t>
      </text>
    </comment>
    <comment authorId="0" ref="AM31">
      <text>
        <t xml:space="preserve">======
ID#AAABAneNi2s
Deleted user    (2023-12-06 22:20:00)
The student will spontaneously request objects, actions, or information throughout the day.</t>
      </text>
    </comment>
    <comment authorId="0" ref="AK32">
      <text>
        <t xml:space="preserve">======
ID#AAABAneNi2o
Deleted user    (2023-12-06 22:19:39)
2 = spontaneously asks "Why" questions in non-training situations when unknown items are present</t>
      </text>
    </comment>
    <comment authorId="0" ref="AI32">
      <text>
        <t xml:space="preserve">======
ID#AAABAneNi2k
Deleted user    (2023-12-06 22:19:30)
1 = can ask "Why" questions when unknown items are presented in training situations (or otherwise prompted)</t>
      </text>
    </comment>
    <comment authorId="0" ref="AK33">
      <text>
        <t xml:space="preserve">======
ID#AAABAneNi2g
Deleted user    (2023-12-06 22:19:23)
2 = spontaneously uses at least 2 forms of non "Wh"-type of questions</t>
      </text>
    </comment>
    <comment authorId="0" ref="AI33">
      <text>
        <t xml:space="preserve">======
ID#AAABAneNi2c
Deleted user    (2023-12-06 22:19:02)
1 = spontaneously uses at least 1 form of non-"Wh" question</t>
      </text>
    </comment>
    <comment authorId="0" ref="AM32">
      <text>
        <t xml:space="preserve">======
ID#AAABAneNi2Y
Deleted user    (2023-12-06 22:18:47)
The student will ask questions to obtain information.</t>
      </text>
    </comment>
    <comment authorId="0" ref="AM33">
      <text>
        <t xml:space="preserve">======
ID#AAABAneNi2U
Deleted user    (2023-12-06 22:18:41)
The student will ask questions to obtain information.</t>
      </text>
    </comment>
    <comment authorId="0" ref="AK34">
      <text>
        <t xml:space="preserve">======
ID#AAABAneNi2Q
Deleted user    (2023-12-06 22:17:55)
2 = spontaneously asks "How" questions in non-training situations when unknown items are present</t>
      </text>
    </comment>
    <comment authorId="0" ref="AI34">
      <text>
        <t xml:space="preserve">======
ID#AAABAneNi2M
Deleted user    (2023-12-06 22:17:43)
1 = can ask "How" questions when unknown items are presented in training situations (or otherwise prompted)</t>
      </text>
    </comment>
    <comment authorId="0" ref="AK35">
      <text>
        <t xml:space="preserve">======
ID#AAABAneNi2I
Deleted user    (2023-12-06 22:17:35)
2 = spontaneously asks "When" questions in non-training situations when unknown items are present</t>
      </text>
    </comment>
    <comment authorId="0" ref="AI35">
      <text>
        <t xml:space="preserve">======
ID#AAABAneNi2E
Deleted user    (2023-12-06 22:17:29)
1 = can ask "When" questions when unknown items are presented in training situations (or otherwise prompted)</t>
      </text>
    </comment>
    <comment authorId="0" ref="AK36">
      <text>
        <t xml:space="preserve">======
ID#AAABAneNi2A
Deleted user    (2023-12-06 22:17:19)
2 = spontaneously asks "Which" questions in non-training situations when unknown items are present</t>
      </text>
    </comment>
    <comment authorId="0" ref="AI36">
      <text>
        <t xml:space="preserve">======
ID#AAABAneNi18
Deleted user    (2023-12-06 22:17:07)
1 = can ask "Which" questions when unknown items are presented in training situations (or otherwise prompted)</t>
      </text>
    </comment>
    <comment authorId="0" ref="AM34">
      <text>
        <t xml:space="preserve">======
ID#AAABAneNi14
Deleted user    (2023-12-06 22:16:55)
The student will ask questions to obtain information.</t>
      </text>
    </comment>
    <comment authorId="0" ref="AM35">
      <text>
        <t xml:space="preserve">======
ID#AAABAneNi10
Deleted user    (2023-12-06 22:16:51)
The student will ask questions to obtain information.</t>
      </text>
    </comment>
    <comment authorId="0" ref="AM36">
      <text>
        <t xml:space="preserve">======
ID#AAABAneNi1w
Deleted user    (2023-12-06 22:16:45)
The student will ask questions to obtain information.</t>
      </text>
    </comment>
    <comment authorId="0" ref="AK37">
      <text>
        <t xml:space="preserve">======
ID#AAABAneNi1s
Deleted user    (2023-12-06 22:16:29)
2 = spontaneously uses at least 4
pronouns with a noun when requesting an item</t>
      </text>
    </comment>
    <comment authorId="0" ref="AI37">
      <text>
        <t xml:space="preserve">======
ID#AAABAneNi1o
Deleted user    (2023-12-06 22:16:20)
1 = uses at least 2 pronouns with or without a noun in contrived situations</t>
      </text>
    </comment>
    <comment authorId="0" ref="AM37">
      <text>
        <t xml:space="preserve">======
ID#AAABAneNi1k
Deleted user    (2023-12-06 22:16:11)
The student will be able to ask for items using pronouns (e.g., I want your hat).</t>
      </text>
    </comment>
    <comment authorId="0" ref="AY153">
      <text>
        <t xml:space="preserve">======
ID#AAABAneNi1g
Ester Casarez    (2023-12-06 22:16:05)
Student will be able to accurately copy simple shapes and line patterns, including correct orientation and size of figures.</t>
      </text>
    </comment>
    <comment authorId="0" ref="AK38">
      <text>
        <t xml:space="preserve">======
ID#AAABAneNi1c
Deleted user    (2023-12-06 22:16:00)
2 = spontaneously uses at least 4
adverbs with a noun when requesting an action</t>
      </text>
    </comment>
    <comment authorId="0" ref="AY154">
      <text>
        <t xml:space="preserve">======
ID#AAABAneNi1Y
Ester Casarez    (2023-12-06 22:15:52)
Student will be able to cut out shapes with scissors.</t>
      </text>
    </comment>
    <comment authorId="0" ref="AI38">
      <text>
        <t xml:space="preserve">======
ID#AAABAneNi1U
Deleted user    (2023-12-06 22:15:44)
1 = uses at least 2 adverbs with or without a action in contrived situations</t>
      </text>
    </comment>
    <comment authorId="0" ref="AY155">
      <text>
        <t xml:space="preserve">======
ID#AAABAneNi1Q
Ester Casarez    (2023-12-06 22:15:38)
Student will be able to watch someone fold a piece of paper in half and then imitate the model.</t>
      </text>
    </comment>
    <comment authorId="0" ref="AM38">
      <text>
        <t xml:space="preserve">======
ID#AAABAneNi1M
Deleted user    (2023-12-06 22:15:35)
The student will be able to ask for actions using adverbs (e.g., push me fast, walk quietly).</t>
      </text>
    </comment>
    <comment authorId="0" ref="AK39">
      <text>
        <t xml:space="preserve">======
ID#AAABAneNi1I
Deleted user    (2023-12-06 22:15:26)
2 = spontaneously asks "Who" questions in non-training situations when unknown items are present</t>
      </text>
    </comment>
    <comment authorId="0" ref="AY156">
      <text>
        <t xml:space="preserve">======
ID#AAABAneNi1E
Ester Casarez    (2023-12-06 22:15:17)
Student will be able to pick up small items using a pincer grip.</t>
      </text>
    </comment>
    <comment authorId="0" ref="AI39">
      <text>
        <t xml:space="preserve">======
ID#AAABAneNi1A
Deleted user    (2023-12-06 22:15:16)
1 = can ask "Who" questions when unknown items are presented in training situations (or otherwise prompted)</t>
      </text>
    </comment>
    <comment authorId="0" ref="AM39">
      <text>
        <t xml:space="preserve">======
ID#AAABAneNi08
Deleted user    (2023-12-06 22:15:09)
The student will ask questions to obtain information.</t>
      </text>
    </comment>
    <comment authorId="0" ref="AY157">
      <text>
        <t xml:space="preserve">======
ID#AAABAneNi04
Ester Casarez    (2023-12-06 22:15:05)
Student will be able to replace lids of jars.</t>
      </text>
    </comment>
    <comment authorId="0" ref="AY158">
      <text>
        <t xml:space="preserve">======
ID#AAABAneNi00
Ester Casarez    (2023-12-06 22:14:54)
Student will be able to put objects (rings) on pegs.</t>
      </text>
    </comment>
    <comment authorId="0" ref="AY159">
      <text>
        <t xml:space="preserve">======
ID#AAABAneNi0w
Ester Casarez    (2023-12-06 22:14:42)
Student will be able to paste cut-out pieces of paper in appropriate positions on an outlined picture to make the picture match a sample art project (e.g., make a clown face).</t>
      </text>
    </comment>
    <comment authorId="0" ref="AY160">
      <text>
        <t xml:space="preserve">======
ID#AAABAneNi0s
Ester Casarez    (2023-12-06 22:14:30)
Student will be able to paste cut-out pieces of paper in appropriate positions on an outlined picture to make the picture match a sample art project (e.g., make a clown face).</t>
      </text>
    </comment>
    <comment authorId="0" ref="AY161">
      <text>
        <t xml:space="preserve">======
ID#AAABAneNi0o
Ester Casarez    (2023-12-06 22:14:18)
Student will be able to roughly copy simple shapes and line patterns.</t>
      </text>
    </comment>
    <comment authorId="0" ref="AY162">
      <text>
        <t xml:space="preserve">======
ID#AAABAneNi0k
Ester Casarez    (2023-12-06 22:14:03)
Student will be able to remove wrappers to get to food items.</t>
      </text>
    </comment>
    <comment authorId="0" ref="AY163">
      <text>
        <t xml:space="preserve">======
ID#AAABAneNi0g
Ester Casarez    (2023-12-06 22:13:53)
Student will be able to squeeze glue from a bottle.</t>
      </text>
    </comment>
    <comment authorId="0" ref="AY164">
      <text>
        <t xml:space="preserve">======
ID#AAABAneNi0c
Ester Casarez    (2023-12-06 22:13:42)
Student will be able to trace lines with a finger.</t>
      </text>
    </comment>
    <comment authorId="0" ref="AY165">
      <text>
        <t xml:space="preserve">======
ID#AAABAneNi0Y
Ester Casarez    (2023-12-06 22:13:30)
Student will be able to cut across paper with scissors.</t>
      </text>
    </comment>
    <comment authorId="0" ref="AK40">
      <text>
        <t xml:space="preserve">======
ID#AAABAneNi0U
Deleted user    (2023-12-06 22:13:23)
2 = spontaneously asks "Where" questions in non-training situations when unknown items or situations are present</t>
      </text>
    </comment>
    <comment authorId="0" ref="AY166">
      <text>
        <t xml:space="preserve">======
ID#AAABAneNi0Q
Ester Casarez    (2023-12-06 22:13:16)
Student will be able to remove lids of jars.</t>
      </text>
    </comment>
    <comment authorId="0" ref="AI40">
      <text>
        <t xml:space="preserve">======
ID#AAABAneNi0M
Deleted user    (2023-12-06 22:13:03)
1 = can ask "Where" questions when unknown items or situations are presented in training situations (or otherwise prompted)</t>
      </text>
    </comment>
    <comment authorId="0" ref="AM40">
      <text>
        <t xml:space="preserve">======
ID#AAABAneNi0I
Deleted user    (2023-12-06 22:12:52)
The student will ask questions to obtain information.</t>
      </text>
    </comment>
    <comment authorId="0" ref="AK41">
      <text>
        <t xml:space="preserve">======
ID#AAABAneNi0E
Deleted user    (2023-12-06 22:12:40)
2 = spontaneously asks "What" questions in non-training situations when unknown items are present</t>
      </text>
    </comment>
    <comment authorId="0" ref="AI41">
      <text>
        <t xml:space="preserve">======
ID#AAABAneNi0A
Deleted user    (2023-12-06 22:12:31)
1 = can ask "What" questions when unknown items are presented in training situations (or otherwise prompted)</t>
      </text>
    </comment>
    <comment authorId="0" ref="AY167">
      <text>
        <t xml:space="preserve">======
ID#AAABAneNiz8
Ester Casarez    (2023-12-06 22:12:28)
Student will be able to strings beads which have a 1/8-inch hole.</t>
      </text>
    </comment>
    <comment authorId="0" ref="AM41">
      <text>
        <t xml:space="preserve">======
ID#AAABAneNiz4
Deleted user    (2023-12-06 22:12:21)
The student will ask questions to obtain information.</t>
      </text>
    </comment>
    <comment authorId="0" ref="AY168">
      <text>
        <t xml:space="preserve">======
ID#AAABAneNiz0
Ester Casarez    (2023-12-06 22:12:14)
Student will be able to stack blocks.</t>
      </text>
    </comment>
    <comment authorId="0" ref="AY169">
      <text>
        <t xml:space="preserve">======
ID#AAABAneNizw
Ester Casarez    (2023-12-06 22:12:02)
Student will be able to snip paper with scissors.</t>
      </text>
    </comment>
    <comment authorId="0" ref="AY170">
      <text>
        <t xml:space="preserve">======
ID#AAABAneNizo
Ester Casarez    (2023-12-06 22:11:49)
Student will be able to open "Ziploc" type bags to get to food items.</t>
      </text>
    </comment>
    <comment authorId="0" ref="AK42">
      <text>
        <t xml:space="preserve">======
ID#AAABAneKock
Deleted user    (2023-12-06 22:11:34)
2 = spontaneously requests items or activities one or more days in advance</t>
      </text>
    </comment>
    <comment authorId="0" ref="AY171">
      <text>
        <t xml:space="preserve">======
ID#AAABAneKocg
Ester Casarez    (2023-12-06 22:11:30)
Student will be able to color within boundaries.</t>
      </text>
    </comment>
    <comment authorId="0" ref="AI42">
      <text>
        <t xml:space="preserve">======
ID#AAABAneKocc
Deleted user    (2023-12-06 22:11:24)
1 = spontaneously requests to have items or participate in activities after completion of an activity or later in the day</t>
      </text>
    </comment>
    <comment authorId="0" ref="AY172">
      <text>
        <t xml:space="preserve">======
ID#AAABAneKocY
Ester Casarez    (2023-12-06 22:11:16)
Student will be able to put spring-type clothespins on a line.</t>
      </text>
    </comment>
    <comment authorId="0" ref="AM42">
      <text>
        <t xml:space="preserve">======
ID#AAABAneKocU
Deleted user    (2023-12-06 22:11:09)
The student will be able to ask for items or actions which he may be able to obtain in the future.</t>
      </text>
    </comment>
    <comment authorId="0" ref="AY173">
      <text>
        <t xml:space="preserve">======
ID#AAABAneKocQ
Ester Casarez    (2023-12-06 22:11:03)
Student will be able to turn one page of a book at a time.</t>
      </text>
    </comment>
    <comment authorId="0" ref="AK43">
      <text>
        <t xml:space="preserve">======
ID#AAABAneKocM
Deleted user    (2023-12-06 22:10:56)
2 = spontaneously uses at least 4 prepositions with a noun when requesting an item</t>
      </text>
    </comment>
    <comment authorId="0" ref="AY174">
      <text>
        <t xml:space="preserve">======
ID#AAABAneKocI
Ester Casarez    (2023-12-06 22:10:50)
Student will be able to place pegs in a peg board.</t>
      </text>
    </comment>
    <comment authorId="0" ref="AI43">
      <text>
        <t xml:space="preserve">======
ID#AAABAneKocE
Deleted user    (2023-12-06 22:10:45)
1 = uses at least 2 prepositions with or without a noun in contrived situations</t>
      </text>
    </comment>
    <comment authorId="0" ref="AM43">
      <text>
        <t xml:space="preserve">======
ID#AAABAneKocA
Deleted user    (2023-12-06 22:10:36)
The student will be able to ask for items using prepositions (e.g., in the box).</t>
      </text>
    </comment>
    <comment authorId="0" ref="AK44">
      <text>
        <t xml:space="preserve">======
ID#AAABAneKob8
Deleted user    (2023-12-06 22:10:23)
2 = spontaneously uses at least 4
adjectives with a noun when requesting an item</t>
      </text>
    </comment>
    <comment authorId="0" ref="AI44">
      <text>
        <t xml:space="preserve">======
ID#AAABAneKob4
Deleted user    (2023-12-06 22:10:05)
1 = uses at least 2 adjectives with or without a noun in contrived situations</t>
      </text>
    </comment>
    <comment authorId="0" ref="AM44">
      <text>
        <t xml:space="preserve">======
ID#AAABAneKob0
Deleted user    (2023-12-06 22:09:58)
The student will be able to ask for items using adjectives (e.g., big horse).</t>
      </text>
    </comment>
    <comment authorId="0" ref="AK45">
      <text>
        <t xml:space="preserve">======
ID#AAABAneKobw
Deleted user    (2023-12-06 22:09:44)
2 = can do spontaneously</t>
      </text>
    </comment>
    <comment authorId="0" ref="AI45">
      <text>
        <t xml:space="preserve">======
ID#AAABAneKobs
Deleted user    (2023-12-06 22:09:39)
1 = can do in contrived situations</t>
      </text>
    </comment>
    <comment authorId="0" ref="AM45">
      <text>
        <t xml:space="preserve">======
ID#AAABAneKobo
Deleted user    (2023-12-06 22:09:26)
The student will be able to ask others to remove an item or stop an activity.</t>
      </text>
    </comment>
    <comment authorId="0" ref="AL46">
      <text>
        <t xml:space="preserve">======
ID#AAABAneKobk
Deleted user    (2023-12-06 22:09:14)
4 = 10 or more requests per day</t>
      </text>
    </comment>
    <comment authorId="0" ref="AK46">
      <text>
        <t xml:space="preserve">======
ID#AAABAneKobg
Deleted user    (2023-12-06 22:09:07)
3 = 6 request per day</t>
      </text>
    </comment>
    <comment authorId="0" ref="AJ46">
      <text>
        <t xml:space="preserve">======
ID#AAABAneKobc
Deleted user    (2023-12-06 22:08:58)
2 = 4 request per day</t>
      </text>
    </comment>
    <comment authorId="0" ref="AI46">
      <text>
        <t xml:space="preserve">======
ID#AAABAneKobY
Deleted user    (2023-12-06 22:08:51)
1 = 2 requests per day</t>
      </text>
    </comment>
    <comment authorId="0" ref="AM46">
      <text>
        <t xml:space="preserve">======
ID#AAABAneKobU
Deleted user    (2023-12-06 22:08:44)
The student will be able to ask others to attend to his actions.</t>
      </text>
    </comment>
    <comment authorId="0" ref="AY175">
      <text>
        <t xml:space="preserve">======
ID#AAABAneKobQ
Ester Casarez    (2023-12-06 22:08:35)
Student will be able to transfer objects from one hand to the opposite hand.</t>
      </text>
    </comment>
    <comment authorId="0" ref="AY176">
      <text>
        <t xml:space="preserve">======
ID#AAABAneKobM
Ester Casarez    (2023-12-06 22:08:23)
Student will be able to accurately place blocks on block-design cards.</t>
      </text>
    </comment>
    <comment authorId="0" ref="AY177">
      <text>
        <t xml:space="preserve">======
ID#AAABAneKobI
Ester Casarez    (2023-12-06 22:08:13)
Student will be able to manipulate to place multiple puzzle pieces into a frame.</t>
      </text>
    </comment>
    <comment authorId="0" ref="AY178">
      <text>
        <t xml:space="preserve">======
ID#AAABAneKobE
Ester Casarez    (2023-12-06 22:07:48)
Student will be able to put single-piece inset puzzle pieces into frames.</t>
      </text>
    </comment>
    <comment authorId="0" ref="AY179">
      <text>
        <t xml:space="preserve">======
ID#AAABAneKobA
Ester Casarez    (2023-12-06 22:07:31)
Student will be able to place objects of various shapes in a form box.</t>
      </text>
    </comment>
    <comment authorId="0" ref="AY180">
      <text>
        <t xml:space="preserve">======
ID#AAABAneKoa8
Ester Casarez    (2023-12-06 22:07:20)
Student will be able to mark on paper with a crayon.</t>
      </text>
    </comment>
    <comment authorId="0" ref="AS151">
      <text>
        <t xml:space="preserve">======
ID#AAABAneKoa4
Ester Casarez    (2023-12-06 22:06:59)
Student will be able to ride and stop a bicycle.</t>
      </text>
    </comment>
    <comment authorId="0" ref="AK47">
      <text>
        <t xml:space="preserve">======
ID#AAABAneKoa0
Deleted user    (2023-12-06 22:06:51)
2 = readily learns new requests without direct training</t>
      </text>
    </comment>
    <comment authorId="0" ref="AS152">
      <text>
        <t xml:space="preserve">======
ID#AAABAneKoaw
Ester Casarez    (2023-12-06 22:06:48)
Student will be able to do jumping jacks.</t>
      </text>
    </comment>
    <comment authorId="0" ref="AI47">
      <text>
        <t xml:space="preserve">======
ID#AAABAneKoas
Deleted user    (2023-12-06 22:06:42)
1 = readily able to learn new requests for objects, actions, or information when asked to request the items less than five times</t>
      </text>
    </comment>
    <comment authorId="0" ref="AS153">
      <text>
        <t xml:space="preserve">======
ID#AAABAneKoao
Ester Casarez    (2023-12-06 22:06:36)
Student will be able to skip.</t>
      </text>
    </comment>
    <comment authorId="0" ref="AM47">
      <text>
        <t xml:space="preserve">======
ID#AAABAneKoak
Deleted user    (2023-12-06 22:06:28)
The student will be able to acquire new requests for many new objects, actions, or information after being required to request those items less than five times.</t>
      </text>
    </comment>
    <comment authorId="0" ref="AK48">
      <text>
        <t xml:space="preserve">======
ID#AAABAneKoag
Deleted user    (2023-12-06 22:05:57)
2 = asks for help in a wide variety of situations</t>
      </text>
    </comment>
    <comment authorId="0" ref="AI48">
      <text>
        <t xml:space="preserve">======
ID#AAABAneKoac
Deleted user    (2023-12-06 22:05:49)
1 = asks for help in only 1 or 2 specific situations (e.g., tie shoes, open containers)</t>
      </text>
    </comment>
    <comment authorId="0" ref="AM48">
      <text>
        <t xml:space="preserve">======
ID#AAABAneKoaY
Deleted user    (2023-12-06 22:05:40)
The student will ask for help when he needs assistance.</t>
      </text>
    </comment>
    <comment authorId="0" ref="AK49">
      <text>
        <t xml:space="preserve">======
ID#AAABAneKoaU
Deleted user    (2023-12-06 22:05:27)
2 = usually uses three or more
words to ask for items or activities</t>
      </text>
    </comment>
    <comment authorId="0" ref="AS154">
      <text>
        <t xml:space="preserve">======
ID#AAABAneKoaQ
Ester Casarez    (2023-12-06 22:05:11)
Student will be able to pump her legs while swinging.</t>
      </text>
    </comment>
    <comment authorId="0" ref="AI49">
      <text>
        <t xml:space="preserve">======
ID#AAABAneKoaM
Deleted user    (2023-12-06 22:05:06)
1 = sometimes uses three or more words to ask for items or activities</t>
      </text>
    </comment>
    <comment authorId="0" ref="AM49">
      <text>
        <t xml:space="preserve">======
ID#AAABAneKoaI
Deleted user    (2023-12-06 22:04:57)
The student will ask questions for in a sentence form to obtain items, actions, or information.</t>
      </text>
    </comment>
    <comment authorId="0" ref="AS155">
      <text>
        <t xml:space="preserve">======
ID#AAABAneKoaE
Ester Casarez    (2023-12-06 22:04:48)
Student will be able to kick a slowly rolling 8-inch ball in the direction of a specified target area.</t>
      </text>
    </comment>
    <comment authorId="0" ref="AK50">
      <text>
        <t xml:space="preserve">======
ID#AAABAneKoaA
Deleted user    (2023-12-06 22:04:48)
2 = both yes and no</t>
      </text>
    </comment>
    <comment authorId="0" ref="AI50">
      <text>
        <t xml:space="preserve">======
ID#AAABAneKoZ8
Deleted user    (2023-12-06 22:04:43)
1 = only one of the two</t>
      </text>
    </comment>
    <comment authorId="0" ref="AS156">
      <text>
        <t xml:space="preserve">======
ID#AAABAneKoZ4
Ester Casarez    (2023-12-06 22:04:35)
Student will be able to bounce a ball at least three times.</t>
      </text>
    </comment>
    <comment authorId="0" ref="AM50">
      <text>
        <t xml:space="preserve">======
ID#AAABAneKoZ0
Deleted user    (2023-12-06 22:04:34)
Student will be able to ask for or reject offered items and activities using head movements to specify "Yes" or "No."</t>
      </text>
    </comment>
    <comment authorId="0" ref="AS157">
      <text>
        <t xml:space="preserve">======
ID#AAABAneKoZw
Ester Casarez    (2023-12-06 22:04:24)
Student will be able to toss a ball in the air and catch it in her hands.</t>
      </text>
    </comment>
    <comment authorId="0" ref="AL51">
      <text>
        <t xml:space="preserve">======
ID#AAABAneKoZs
Deleted user    (2023-12-06 22:04:16)
4 = 10 or more</t>
      </text>
    </comment>
    <comment authorId="0" ref="AK51">
      <text>
        <t xml:space="preserve">======
ID#AAABAneKoZo
Deleted user    (2023-12-06 22:04:12)
3 = at least 6</t>
      </text>
    </comment>
    <comment authorId="0" ref="AJ51">
      <text>
        <t xml:space="preserve">======
ID#AAABAneKoZk
Deleted user    (2023-12-06 22:04:08)
2 = at least 3</t>
      </text>
    </comment>
    <comment authorId="0" ref="AS158">
      <text>
        <t xml:space="preserve">======
ID#AAABAneKoZg
Ester Casarez    (2023-12-06 22:04:07)
Student will be able to throw (underhand) an 8-inch ball 4 feet to a person.</t>
      </text>
    </comment>
    <comment authorId="0" ref="AI51">
      <text>
        <t xml:space="preserve">======
ID#AAABAneKoZc
Deleted user    (2023-12-06 22:04:01)
1 = can ask for 1 missing item</t>
      </text>
    </comment>
    <comment authorId="0" ref="AM51">
      <text>
        <t xml:space="preserve">======
ID#AAABAneKoZY
Deleted user    (2023-12-06 22:03:51)
When only given some of the items necessary to do an activity, the student will ask for the missing item.</t>
      </text>
    </comment>
    <comment authorId="0" ref="AS159">
      <text>
        <t xml:space="preserve">======
ID#AAABAneKoZU
Ester Casarez    (2023-12-06 22:03:50)
Student will be able to catch an 8-inch ball with her hands only (i.e., not trap to chest with arms) when it is thrown from 4 feet.</t>
      </text>
    </comment>
    <comment authorId="0" ref="AS160">
      <text>
        <t xml:space="preserve">======
ID#AAABAneKoZQ
Ester Casarez    (2023-12-06 22:03:23)
Student will be able to support her suspended weight when using playground equipment (hang).</t>
      </text>
    </comment>
    <comment authorId="0" ref="AS161">
      <text>
        <t xml:space="preserve">======
ID#AAABAneKoZM
Ester Casarez    (2023-12-06 22:03:09)
Student will be able to kick an 8-inch ball at least 6 feet to a person or other target.</t>
      </text>
    </comment>
    <comment authorId="0" ref="AL52">
      <text>
        <t xml:space="preserve">======
ID#AAABAneKoZI
Deleted user    (2023-12-06 22:03:01)
4 = can request 10 or more different actions</t>
      </text>
    </comment>
    <comment authorId="0" ref="AK52">
      <text>
        <t xml:space="preserve">======
ID#AAABAneKoZE
Deleted user    (2023-12-06 22:02:52)
3 = 6 actions</t>
      </text>
    </comment>
    <comment authorId="0" ref="AJ52">
      <text>
        <t xml:space="preserve">======
ID#AAABAneKoZA
Deleted user    (2023-12-06 22:02:46)
2 = 3 actions</t>
      </text>
    </comment>
    <comment authorId="0" ref="AS162">
      <text>
        <t xml:space="preserve">======
ID#AAABAneKoY8
Ester Casarez    (2023-12-06 22:02:36)
Student will be able to balance on one foot for at least 3 seconds.</t>
      </text>
    </comment>
    <comment authorId="0" ref="AI52">
      <text>
        <t xml:space="preserve">======
ID#AAABAneKoY4
Deleted user    (2023-12-06 22:02:33)
1 = requests 1 action</t>
      </text>
    </comment>
    <comment authorId="0" ref="AM52">
      <text>
        <t xml:space="preserve">======
ID#AAABAneKoY0
Deleted user    (2023-12-06 22:02:25)
The student will be able to ask others to perform specified actions.</t>
      </text>
    </comment>
    <comment authorId="0" ref="AS163">
      <text>
        <t xml:space="preserve">======
ID#AAABAneKoYw
Ester Casarez    (2023-12-06 22:02:18)
Student will be able to gallop.</t>
      </text>
    </comment>
    <comment authorId="0" ref="AK53">
      <text>
        <t xml:space="preserve">======
ID#AAABAneKoYs
Deleted user    (2023-12-06 22:02:13)
2 = makes eye contact with people at least 80% of the times that he makes requests</t>
      </text>
    </comment>
    <comment authorId="0" ref="AS164">
      <text>
        <t xml:space="preserve">======
ID#AAABAneKoYo
Ester Casarez    (2023-12-06 22:02:05)
Student will be able to walk sideways.</t>
      </text>
    </comment>
    <comment authorId="0" ref="AI53">
      <text>
        <t xml:space="preserve">======
ID#AAABAneKoYk
Deleted user    (2023-12-06 22:02:02)
1 = makes eye contact with people at least 50% of the time that he makes requests</t>
      </text>
    </comment>
    <comment authorId="0" ref="AS165">
      <text>
        <t xml:space="preserve">======
ID#AAABAncDqaU
Ester Casarez    (2023-12-06 22:01:53)
Student will be able to peddle a tricycle at least 20 feet.</t>
      </text>
    </comment>
    <comment authorId="0" ref="AM53">
      <text>
        <t xml:space="preserve">======
ID#AAABAncDqaQ
Deleted user    (2023-12-06 22:01:51)
The student will make eye contact when asking a person people when he is asking for items, actions or information.</t>
      </text>
    </comment>
    <comment authorId="0" ref="AS166">
      <text>
        <t xml:space="preserve">======
ID#AAABAncDqaM
Ester Casarez    (2023-12-06 22:01:42)
Student will be able to catch an 8-inch ball thrown from 4 feet (including trapping ball to chest with arms).</t>
      </text>
    </comment>
    <comment authorId="0" ref="AS167">
      <text>
        <t xml:space="preserve">======
ID#AAABAncDqaI
Ester Casarez    (2023-12-06 22:01:27)
Student will be able to walk across a balance beam or other narrow board for up to 8 feet without falling.</t>
      </text>
    </comment>
    <comment authorId="0" ref="AL54">
      <text>
        <t xml:space="preserve">======
ID#AAABAncDqaE
Deleted user    (2023-12-06 22:01:23)
4 = 10 or more specific items or activities when the items or items associated with the activity are not present</t>
      </text>
    </comment>
    <comment authorId="0" ref="AS168">
      <text>
        <t xml:space="preserve">======
ID#AAABAncDqaA
Ester Casarez    (2023-12-06 22:01:14)
Student will be able to get into and out of a squatting position.</t>
      </text>
    </comment>
    <comment authorId="0" ref="AK54">
      <text>
        <t xml:space="preserve">======
ID#AAABAncDqZ8
Deleted user    (2023-12-06 22:01:11)
3 = 6 specific items or activities</t>
      </text>
    </comment>
    <comment authorId="0" ref="AJ54">
      <text>
        <t xml:space="preserve">======
ID#AAABAncDqZ4
Deleted user    (2023-12-06 22:01:06)
2 = 4 specific items or activities</t>
      </text>
    </comment>
    <comment authorId="0" ref="AI54">
      <text>
        <t xml:space="preserve">======
ID#AAABAncDqZ0
Deleted user    (2023-12-06 22:00:59)
1 = 2 specific items or activities (items not present)</t>
      </text>
    </comment>
    <comment authorId="0" ref="AS169">
      <text>
        <t xml:space="preserve">======
ID#AAABAncDqZw
Ester Casarez    (2023-12-06 22:00:52)
Student will be able to creep on her stomach at least 3 feet.</t>
      </text>
    </comment>
    <comment authorId="0" ref="AM54">
      <text>
        <t xml:space="preserve">======
ID#AAABAncDqZs
Deleted user    (2023-12-06 22:00:47)
The student will spontaneously ask for at least 10 items that he wants using a specific response (Spoken word or with an American Sign Language sign) when the items are not present.</t>
      </text>
    </comment>
    <comment authorId="0" ref="AS170">
      <text>
        <t xml:space="preserve">======
ID#AAABAncDqZo
Ester Casarez    (2023-12-06 22:00:38)
Student will be able to climb a ladder 5 feet using reciprocal motion.</t>
      </text>
    </comment>
    <comment authorId="0" ref="AL55">
      <text>
        <t xml:space="preserve">======
ID#AAABAncDqZk
Deleted user    (2023-12-06 22:00:29)
4 = 10 or more specific items or activities when the items or items associated with the activity are present</t>
      </text>
    </comment>
    <comment authorId="0" ref="AS171">
      <text>
        <t xml:space="preserve">======
ID#AAABAncDqZg
Ester Casarez    (2023-12-06 22:00:21)
Student will be able to roll a ball 6 feet to another person.</t>
      </text>
    </comment>
    <comment authorId="0" ref="AK55">
      <text>
        <t xml:space="preserve">======
ID#AAABAncDqZc
Deleted user    (2023-12-06 22:00:14)
3 = 6 specific items or activities</t>
      </text>
    </comment>
    <comment authorId="0" ref="AS172">
      <text>
        <t xml:space="preserve">======
ID#AAABAncDqZY
Ester Casarez    (2023-12-06 22:00:08)
Student will be able to throw (from chest or overhand) an 8-inch ball four feet to a person.</t>
      </text>
    </comment>
    <comment authorId="0" ref="AJ55">
      <text>
        <t xml:space="preserve">======
ID#AAABAncDqZU
Deleted user    (2023-12-06 21:59:56)
2 = 4 specific items or activities</t>
      </text>
    </comment>
    <comment authorId="0" ref="AS173">
      <text>
        <t xml:space="preserve">======
ID#AAABAncDqZQ
Ester Casarez    (2023-12-06 21:59:54)
Student will be able to hop on two feet.</t>
      </text>
    </comment>
    <comment authorId="0" ref="AI55">
      <text>
        <t xml:space="preserve">======
ID#AAABAncDqZM
Deleted user    (2023-12-06 21:59:50)
1 = 2 specific items or activities (items present)</t>
      </text>
    </comment>
    <comment authorId="0" ref="AS174">
      <text>
        <t xml:space="preserve">======
ID#AAABAncDqZI
Ester Casarez    (2023-12-06 21:59:41)
Student will be able to walk backward.</t>
      </text>
    </comment>
    <comment authorId="0" ref="AM55">
      <text>
        <t xml:space="preserve">======
ID#AAABAncDqZE
Deleted user    (2023-12-06 21:59:32)
The student will spontaneously ask for at least 10 items that he wants using a specific response (Spoken word or with an American Sign Language sign) when the items are present.</t>
      </text>
    </comment>
    <comment authorId="0" ref="AS175">
      <text>
        <t xml:space="preserve">======
ID#AAABAncDqZA
Ester Casarez    (2023-12-06 21:59:26)
Student will be able to jump down from an object (1 ft.).</t>
      </text>
    </comment>
    <comment authorId="0" ref="AS176">
      <text>
        <t xml:space="preserve">======
ID#AAABAncDqY8
Ester Casarez    (2023-12-06 21:59:11)
Student will be able to jump forward using two feet.</t>
      </text>
    </comment>
    <comment authorId="0" ref="AS177">
      <text>
        <t xml:space="preserve">======
ID#AAABAncDqY4
Ester Casarez    (2023-12-06 21:59:00)
Student will be able to roll sideways.</t>
      </text>
    </comment>
    <comment authorId="0" ref="AL56">
      <text>
        <t xml:space="preserve">======
ID#AAABAncDqY0
Deleted user    (2023-12-06 21:58:58)
4 = 10 or more specific items or activities when the items or items associated with the activity are present</t>
      </text>
    </comment>
    <comment authorId="0" ref="AS178">
      <text>
        <t xml:space="preserve">======
ID#AAABAncDqYw
Ester Casarez    (2023-12-06 21:58:44)
Student will be able to run smoothly.</t>
      </text>
    </comment>
    <comment authorId="0" ref="AK56">
      <text>
        <t xml:space="preserve">======
ID#AAABAncDqYs
Deleted user    (2023-12-06 21:58:39)
3 = 6 items or activities</t>
      </text>
    </comment>
    <comment authorId="0" ref="AJ56">
      <text>
        <t xml:space="preserve">======
ID#AAABAncDqYo
Deleted user    (2023-12-06 21:58:29)
2 = 4 items or activities</t>
      </text>
    </comment>
    <comment authorId="0" ref="AS179">
      <text>
        <t xml:space="preserve">======
ID#AAABAncDqYk
Ester Casarez    (2023-12-06 21:58:23)
Student will be able to get into and out of a kneeling position.</t>
      </text>
    </comment>
    <comment authorId="0" ref="AI56">
      <text>
        <t xml:space="preserve">======
ID#AAABAncDqYg
Deleted user    (2023-12-06 21:58:20)
1 = 2 items or activities</t>
      </text>
    </comment>
    <comment authorId="0" ref="AM56">
      <text>
        <t xml:space="preserve">======
ID#AAABAncDqYc
Deleted user    (2023-12-06 21:58:08)
The student will ask for items that he wants with no reinforcers present.</t>
      </text>
    </comment>
    <comment authorId="0" ref="AL57">
      <text>
        <t xml:space="preserve">======
ID#AAABAncDqYY
Deleted user    (2023-12-06 21:58:01)
4 = 10 or more items or activities</t>
      </text>
    </comment>
    <comment authorId="0" ref="AS180">
      <text>
        <t xml:space="preserve">======
ID#AAABAncDqYU
Ester Casarez    (2023-12-06 21:57:58)
Student will be able to walk forward with an appropriate gait.</t>
      </text>
    </comment>
    <comment authorId="0" ref="AK57">
      <text>
        <t xml:space="preserve">======
ID#AAABAncDqYQ
Deleted user    (2023-12-06 21:57:51)
3 = 6 items or activities</t>
      </text>
    </comment>
    <comment authorId="0" ref="AJ57">
      <text>
        <t xml:space="preserve">======
ID#AAABAncDqYM
Deleted user    (2023-12-06 21:57:44)
2 = 4 items or activities</t>
      </text>
    </comment>
    <comment authorId="0" ref="AI57">
      <text>
        <t xml:space="preserve">======
ID#AAABAncDqYI
Deleted user    (2023-12-06 21:57:38)
1 = 1 item or activity</t>
      </text>
    </comment>
    <comment authorId="0" ref="AM57">
      <text>
        <t xml:space="preserve">======
ID#AAABAncDqYE
Deleted user    (2023-12-06 21:57:28)
The student will ask for what he wants with the reinforcer present using either words or signs.</t>
      </text>
    </comment>
    <comment authorId="0" ref="AL58">
      <text>
        <t xml:space="preserve">======
ID#AAABAncDqYA
Deleted user    (2023-12-06 21:57:22)
4 = 10 or more items or activties</t>
      </text>
    </comment>
    <comment authorId="0" ref="AK58">
      <text>
        <t xml:space="preserve">======
ID#AAABAncDqX8
Deleted user    (2023-12-06 21:57:15)
3 = 6 items or activities</t>
      </text>
    </comment>
    <comment authorId="0" ref="AJ58">
      <text>
        <t xml:space="preserve">======
ID#AAABAncDqX4
Deleted user    (2023-12-06 21:57:09)
2 = 4 items or activities</t>
      </text>
    </comment>
    <comment authorId="0" ref="AI58">
      <text>
        <t xml:space="preserve">======
ID#AAABAncDqX0
Deleted user    (2023-12-06 21:57:03)
1 = 1 item or activity</t>
      </text>
    </comment>
    <comment authorId="0" ref="AM58">
      <text>
        <t xml:space="preserve">======
ID#AAABAncDqXw
Deleted user    (2023-12-06 21:56:56)
The student will ask for what he wants when the reinforcer is present and a word or a sign given.</t>
      </text>
    </comment>
    <comment authorId="0" ref="AK59">
      <text>
        <t xml:space="preserve">======
ID#AAABAncDqXs
Deleted user    (2023-12-06 21:56:47)
2 = a total of at least 5 requests per day which include at least 3 different items or activities</t>
      </text>
    </comment>
    <comment authorId="0" ref="AI59">
      <text>
        <t xml:space="preserve">======
ID#AAABAncDqXo
Deleted user    (2023-12-06 21:56:39)
1 = requests 1 item or activity at least once per day</t>
      </text>
    </comment>
    <comment authorId="0" ref="AM59">
      <text>
        <t xml:space="preserve">======
ID#AAABAncDqXk
Deleted user    (2023-12-06 21:56:31)
The student will be able to specifically indicate items and activities which he wants by pointing to, pulling to, or standing by the particular items or activities (without using words or sign language).</t>
      </text>
    </comment>
    <comment authorId="0" ref="AO151">
      <text>
        <t xml:space="preserve">======
ID#AAABAncDqXg
Ester Casarez    (2023-12-06 21:56:18)
1= yes</t>
      </text>
    </comment>
    <comment authorId="0" ref="AO152">
      <text>
        <t xml:space="preserve">======
ID#AAABAncDqXc
Ester Casarez    (2023-12-06 21:56:02)
1= yes</t>
      </text>
    </comment>
    <comment authorId="0" ref="AO153">
      <text>
        <t xml:space="preserve">======
ID#AAABAncDqXY
Ester Casarez    (2023-12-06 21:55:57)
1= yes</t>
      </text>
    </comment>
    <comment authorId="0" ref="AO154">
      <text>
        <t xml:space="preserve">======
ID#AAABAncDqXU
Ester Casarez    (2023-12-06 21:55:50)
1= yes</t>
      </text>
    </comment>
    <comment authorId="0" ref="AO155">
      <text>
        <t xml:space="preserve">======
ID#AAABAncDqXQ
Ester Casarez    (2023-12-06 21:55:41)
1= yes</t>
      </text>
    </comment>
    <comment authorId="0" ref="AF40">
      <text>
        <t xml:space="preserve">======
ID#AAABAncDqXM
Deleted user    (2023-12-06 21:55:24)
4 = accurately imitates phrases of 6 or more words at least 3 times per day</t>
      </text>
    </comment>
    <comment authorId="0" ref="AO156">
      <text>
        <t xml:space="preserve">======
ID#AAABAnbWpB8
Ester Casarez    (2023-12-06 21:55:18)
1= yes</t>
      </text>
    </comment>
    <comment authorId="0" ref="AE40">
      <text>
        <t xml:space="preserve">======
ID#AAABAnbWpB4
Deleted user    (2023-12-06 21:55:09)
3 = 4-word phrases 3 times per day</t>
      </text>
    </comment>
    <comment authorId="0" ref="AD40">
      <text>
        <t xml:space="preserve">======
ID#AAABAnbWpB0
Deleted user    (2023-12-06 21:55:00)
2 = 3-word phrases 3 times per day</t>
      </text>
    </comment>
    <comment authorId="0" ref="AC40">
      <text>
        <t xml:space="preserve">======
ID#AAABAnbWpBw
Deleted user    (2023-12-06 21:54:52)
1 = 2-word phrases at least 3 times per day</t>
      </text>
    </comment>
    <comment authorId="0" ref="AG40">
      <text>
        <t xml:space="preserve">======
ID#AAABAnbWpBs
Deleted user    (2023-12-06 21:54:37)
The student will spontaneously imitate phrases.</t>
      </text>
    </comment>
    <comment authorId="0" ref="AO157">
      <text>
        <t xml:space="preserve">======
ID#AAABAnbWpBo
Ester Casarez    (2023-12-06 21:54:29)
1= yes</t>
      </text>
    </comment>
    <comment authorId="0" ref="AF41">
      <text>
        <t xml:space="preserve">======
ID#AAABAnbWpBk
Deleted user    (2023-12-06 21:54:29)
4 = accurately imitates at least 20 words per day</t>
      </text>
    </comment>
    <comment authorId="0" ref="AO158">
      <text>
        <t xml:space="preserve">======
ID#AAABAnbWpBg
Ester Casarez    (2023-12-06 21:54:23)
1= yes</t>
      </text>
    </comment>
    <comment authorId="0" ref="AE41">
      <text>
        <t xml:space="preserve">======
ID#AAABAnbWpBc
Deleted user    (2023-12-06 21:54:19)
3 = 15 words</t>
      </text>
    </comment>
    <comment authorId="0" ref="AO159">
      <text>
        <t xml:space="preserve">======
ID#AAABAnbWpBY
Ester Casarez    (2023-12-06 21:54:18)
1= yes</t>
      </text>
    </comment>
    <comment authorId="0" ref="AD41">
      <text>
        <t xml:space="preserve">======
ID#AAABAnbWpBU
Deleted user    (2023-12-06 21:54:13)
2 = 5 words</t>
      </text>
    </comment>
    <comment authorId="0" ref="AO160">
      <text>
        <t xml:space="preserve">======
ID#AAABAnbWpBQ
Ester Casarez    (2023-12-06 21:54:13)
1= yes</t>
      </text>
    </comment>
    <comment authorId="0" ref="AC41">
      <text>
        <t xml:space="preserve">======
ID#AAABAnbWpBM
Deleted user    (2023-12-06 21:54:08)
1 = 2 words per day</t>
      </text>
    </comment>
    <comment authorId="0" ref="AO161">
      <text>
        <t xml:space="preserve">======
ID#AAABAnbWpBI
Ester Casarez    (2023-12-06 21:54:07)
1= yes</t>
      </text>
    </comment>
    <comment authorId="0" ref="AG41">
      <text>
        <t xml:space="preserve">======
ID#AAABAnbWpBE
Deleted user    (2023-12-06 21:54:02)
The student will spontaneously imitate words.</t>
      </text>
    </comment>
    <comment authorId="0" ref="AO162">
      <text>
        <t xml:space="preserve">======
ID#AAABAnbWpBA
Ester Casarez    (2023-12-06 21:54:00)
1= yes</t>
      </text>
    </comment>
    <comment authorId="0" ref="AO163">
      <text>
        <t xml:space="preserve">======
ID#AAABAnbWpA8
Ester Casarez    (2023-12-06 21:53:49)
1= yes</t>
      </text>
    </comment>
    <comment authorId="0" ref="AO164">
      <text>
        <t xml:space="preserve">======
ID#AAABAnbWpA4
Ester Casarez    (2023-12-06 21:53:44)
1= yes</t>
      </text>
    </comment>
    <comment authorId="0" ref="AE42">
      <text>
        <t xml:space="preserve">======
ID#AAABAnbWpA0
Deleted user    (2023-12-06 21:53:44)
2 = can repeat a three-word phrase after going at least ten feet to deliver the message</t>
      </text>
    </comment>
    <comment authorId="0" ref="AC42">
      <text>
        <t xml:space="preserve">======
ID#AAABAnbWpAw
Deleted user    (2023-12-06 21:53:38)
1 = can repeat a two-word phrase after going at least five feet to deliver the message</t>
      </text>
    </comment>
    <comment authorId="0" ref="AO165">
      <text>
        <t xml:space="preserve">======
ID#AAABAnbWpAs
Ester Casarez    (2023-12-06 21:53:31)
1= yes</t>
      </text>
    </comment>
    <comment authorId="0" ref="AG42">
      <text>
        <t xml:space="preserve">======
ID#AAABAnbWpAo
Deleted user    (2023-12-06 21:53:29)
The student will be able to go to a person and repeat a short statement that he was told to say to the person.</t>
      </text>
    </comment>
    <comment authorId="0" ref="AO166">
      <text>
        <t xml:space="preserve">======
ID#AAABAnbWpAk
Ester Casarez    (2023-12-06 21:53:26)
1= yes</t>
      </text>
    </comment>
    <comment authorId="0" ref="AO167">
      <text>
        <t xml:space="preserve">======
ID#AAABAnbWpAg
Ester Casarez    (2023-12-06 21:53:19)
1= yes</t>
      </text>
    </comment>
    <comment authorId="0" ref="AO168">
      <text>
        <t xml:space="preserve">======
ID#AAABAnbWpAc
Ester Casarez    (2023-12-06 21:53:13)
1= yes</t>
      </text>
    </comment>
    <comment authorId="0" ref="AO169">
      <text>
        <t xml:space="preserve">======
ID#AAABAnbWpAY
Ester Casarez    (2023-12-06 21:53:06)
1= yes</t>
      </text>
    </comment>
    <comment authorId="0" ref="AE43">
      <text>
        <t xml:space="preserve">======
ID#AAABAnbWpAU
Deleted user    (2023-12-06 21:53:06)
2 = readily imitates sounds or words matching the pitch/tone of the model</t>
      </text>
    </comment>
    <comment authorId="0" ref="AO170">
      <text>
        <t xml:space="preserve">======
ID#AAABAnbWpAQ
Ester Casarez    (2023-12-06 21:53:01)
1= yes</t>
      </text>
    </comment>
    <comment authorId="0" ref="AC43">
      <text>
        <t xml:space="preserve">======
ID#AAABAnbWpAM
Deleted user    (2023-12-06 21:52:59)
1 = requires only gestural prompts to match the pitch/tone of the model</t>
      </text>
    </comment>
    <comment authorId="0" ref="AO171">
      <text>
        <t xml:space="preserve">======
ID#AAABAnbWpAI
Ester Casarez    (2023-12-06 21:52:55)
1= yes</t>
      </text>
    </comment>
    <comment authorId="0" ref="AG43">
      <text>
        <t xml:space="preserve">======
ID#AAABAnbWpAE
Deleted user    (2023-12-06 21:52:54)
The student will be able to repeat words matching the pitch/tone of the presented word.</t>
      </text>
    </comment>
    <comment authorId="0" ref="AO172">
      <text>
        <t xml:space="preserve">======
ID#AAABAnbWpAA
Ester Casarez    (2023-12-06 21:52:50)
1= yes</t>
      </text>
    </comment>
    <comment authorId="0" ref="AE44">
      <text>
        <t xml:space="preserve">======
ID#AAABAnbWo_8
Deleted user    (2023-12-06 21:52:46)
2 = readily imitates sounds or words matching the volume of the model</t>
      </text>
    </comment>
    <comment authorId="0" ref="AO173">
      <text>
        <t xml:space="preserve">======
ID#AAABAnbWo_4
Ester Casarez    (2023-12-06 21:52:42)
1= yes</t>
      </text>
    </comment>
    <comment authorId="0" ref="AO174">
      <text>
        <t xml:space="preserve">======
ID#AAABAnbWo_0
Ester Casarez    (2023-12-06 21:52:39)
1= yes</t>
      </text>
    </comment>
    <comment authorId="0" ref="AC44">
      <text>
        <t xml:space="preserve">======
ID#AAABAnbWo_w
Deleted user    (2023-12-06 21:52:38)
1 = requires only gestural prompts to match the volume of the model</t>
      </text>
    </comment>
    <comment authorId="0" ref="AO175">
      <text>
        <t xml:space="preserve">======
ID#AAABAnbWo_s
Ester Casarez    (2023-12-06 21:52:33)
1= yes</t>
      </text>
    </comment>
    <comment authorId="0" ref="AG44">
      <text>
        <t xml:space="preserve">======
ID#AAABAnbWo_o
Deleted user    (2023-12-06 21:52:31)
The student will be able to repeat words matching the volume of the presented word.</t>
      </text>
    </comment>
    <comment authorId="0" ref="AO176">
      <text>
        <t xml:space="preserve">======
ID#AAABAnbWo_k
Ester Casarez    (2023-12-06 21:52:28)
1= yes</t>
      </text>
    </comment>
    <comment authorId="0" ref="AO177">
      <text>
        <t xml:space="preserve">======
ID#AAABAnbWo_g
Ester Casarez    (2023-12-06 21:52:23)
1= yes</t>
      </text>
    </comment>
    <comment authorId="0" ref="AE45">
      <text>
        <t xml:space="preserve">======
ID#AAABAnbWo_c
Deleted user    (2023-12-06 21:52:18)
2 = can imitate saying words both at a faster and slower than a normal rate of speaking</t>
      </text>
    </comment>
    <comment authorId="0" ref="AO178">
      <text>
        <t xml:space="preserve">======
ID#AAABAnbWo_Y
Ester Casarez    (2023-12-06 21:52:16)
1= yes</t>
      </text>
    </comment>
    <comment authorId="0" ref="AO179">
      <text>
        <t xml:space="preserve">======
ID#AAABAnbWo_U
Ester Casarez    (2023-12-06 21:52:11)
1= yes</t>
      </text>
    </comment>
    <comment authorId="0" ref="AC45">
      <text>
        <t xml:space="preserve">======
ID#AAABAnbWo_Q
Deleted user    (2023-12-06 21:52:07)
1 = can imitate saying words at a faster or slower than normal rate of speaking</t>
      </text>
    </comment>
    <comment authorId="0" ref="AO180">
      <text>
        <t xml:space="preserve">======
ID#AAABAnbWo_M
Ester Casarez    (2023-12-06 21:52:06)
1= yes</t>
      </text>
    </comment>
    <comment authorId="0" ref="AG45">
      <text>
        <t xml:space="preserve">======
ID#AAABAnbWo_I
Deleted user    (2023-12-06 21:51:57)
The student will be able to repeat words matching the speed of the presented word.</t>
      </text>
    </comment>
    <comment authorId="0" ref="AU153">
      <text>
        <t xml:space="preserve">======
ID#AAABAnbWo_E
Ester Casarez    (2023-12-06 21:51:10)
1= yes</t>
      </text>
    </comment>
    <comment authorId="0" ref="AU154">
      <text>
        <t xml:space="preserve">======
ID#AAABAnbWo_A
Ester Casarez    (2023-12-06 21:51:04)
1= yes</t>
      </text>
    </comment>
    <comment authorId="0" ref="AU155">
      <text>
        <t xml:space="preserve">======
ID#AAABAnbWo-8
Ester Casarez    (2023-12-06 21:50:58)
1= yes</t>
      </text>
    </comment>
    <comment authorId="0" ref="AU156">
      <text>
        <t xml:space="preserve">======
ID#AAABAnbWo-4
Ester Casarez    (2023-12-06 21:50:47)
1= yes</t>
      </text>
    </comment>
    <comment authorId="0" ref="AU157">
      <text>
        <t xml:space="preserve">======
ID#AAABAnbWo-0
Ester Casarez    (2023-12-06 21:50:40)
1= yes</t>
      </text>
    </comment>
    <comment authorId="0" ref="AU158">
      <text>
        <t xml:space="preserve">======
ID#AAABAnbWo-w
Ester Casarez    (2023-12-06 21:50:36)
1= yes</t>
      </text>
    </comment>
    <comment authorId="0" ref="AU159">
      <text>
        <t xml:space="preserve">======
ID#AAABAnbWo-s
Ester Casarez    (2023-12-06 21:50:31)
1= yes</t>
      </text>
    </comment>
    <comment authorId="0" ref="AU160">
      <text>
        <t xml:space="preserve">======
ID#AAABAnbWo-o
Ester Casarez    (2023-12-06 21:50:25)
1= yes</t>
      </text>
    </comment>
    <comment authorId="0" ref="AU161">
      <text>
        <t xml:space="preserve">======
ID#AAABAnbWo-k
Ester Casarez    (2023-12-06 21:50:20)
1= yes</t>
      </text>
    </comment>
    <comment authorId="0" ref="AU162">
      <text>
        <t xml:space="preserve">======
ID#AAABAnbWo-g
Ester Casarez    (2023-12-06 21:50:16)
1= yes</t>
      </text>
    </comment>
    <comment authorId="0" ref="AU163">
      <text>
        <t xml:space="preserve">======
ID#AAABAnbWo-c
Ester Casarez    (2023-12-06 21:50:08)
1= yes</t>
      </text>
    </comment>
    <comment authorId="0" ref="AU164">
      <text>
        <t xml:space="preserve">======
ID#AAABAnbWo-Y
Ester Casarez    (2023-12-06 21:50:02)
1= yes</t>
      </text>
    </comment>
    <comment authorId="0" ref="AU165">
      <text>
        <t xml:space="preserve">======
ID#AAABAnbWo-U
Ester Casarez    (2023-12-06 21:49:57)
1= yes</t>
      </text>
    </comment>
    <comment authorId="0" ref="AU166">
      <text>
        <t xml:space="preserve">======
ID#AAABAnbWo-Q
Ester Casarez    (2023-12-06 21:49:52)
1= yes</t>
      </text>
    </comment>
    <comment authorId="0" ref="AU167">
      <text>
        <t xml:space="preserve">======
ID#AAABAnbPb0U
Ester Casarez    (2023-12-06 21:49:33)
1= yes</t>
      </text>
    </comment>
    <comment authorId="0" ref="AU168">
      <text>
        <t xml:space="preserve">======
ID#AAABAnbPb0Q
Ester Casarez    (2023-12-06 21:49:26)
1= yes</t>
      </text>
    </comment>
    <comment authorId="0" ref="AU169">
      <text>
        <t xml:space="preserve">======
ID#AAABAnbPb0M
Ester Casarez    (2023-12-06 21:49:21)
1= yes</t>
      </text>
    </comment>
    <comment authorId="0" ref="AU170">
      <text>
        <t xml:space="preserve">======
ID#AAABAnbPb0I
Ester Casarez    (2023-12-06 21:49:14)
1= yes</t>
      </text>
    </comment>
    <comment authorId="0" ref="AU171">
      <text>
        <t xml:space="preserve">======
ID#AAABAnbPb0E
Ester Casarez    (2023-12-06 21:48:42)
1= yes</t>
      </text>
    </comment>
    <comment authorId="0" ref="AU172">
      <text>
        <t xml:space="preserve">======
ID#AAABAnbPb0A
Ester Casarez    (2023-12-06 21:48:31)
1= yes</t>
      </text>
    </comment>
    <comment authorId="0" ref="AU173">
      <text>
        <t xml:space="preserve">======
ID#AAABAnbPbz8
Ester Casarez    (2023-12-06 21:48:24)
1= yes</t>
      </text>
    </comment>
    <comment authorId="0" ref="AU174">
      <text>
        <t xml:space="preserve">======
ID#AAABAnbPbz4
Ester Casarez    (2023-12-06 21:48:17)
1= yes</t>
      </text>
    </comment>
    <comment authorId="0" ref="AU175">
      <text>
        <t xml:space="preserve">======
ID#AAABAnbPbz0
Ester Casarez    (2023-12-06 21:47:55)
1= yes</t>
      </text>
    </comment>
    <comment authorId="0" ref="AU176">
      <text>
        <t xml:space="preserve">======
ID#AAABAnbPbzw
Ester Casarez    (2023-12-06 21:47:50)
1= yes</t>
      </text>
    </comment>
    <comment authorId="0" ref="AU177">
      <text>
        <t xml:space="preserve">======
ID#AAABAnbPbzs
Ester Casarez    (2023-12-06 21:47:44)
1= yes</t>
      </text>
    </comment>
    <comment authorId="0" ref="AU178">
      <text>
        <t xml:space="preserve">======
ID#AAABAnbPbzo
Ester Casarez    (2023-12-06 21:47:39)
1= yes</t>
      </text>
    </comment>
    <comment authorId="0" ref="AU179">
      <text>
        <t xml:space="preserve">======
ID#AAABAnbPbzk
Ester Casarez    (2023-12-06 21:47:31)
1= yes</t>
      </text>
    </comment>
    <comment authorId="0" ref="AU180">
      <text>
        <t xml:space="preserve">======
ID#AAABAnbPbzg
Ester Casarez    (2023-12-06 21:47:24)
1= yes</t>
      </text>
    </comment>
    <comment authorId="0" ref="AF46">
      <text>
        <t xml:space="preserve">======
ID#AAABAnbPbzc
Deleted user    (2023-12-06 21:45:20)
4 = readily and accurately imitates sequence of 7 or more numbers</t>
      </text>
    </comment>
    <comment authorId="0" ref="AE46">
      <text>
        <t xml:space="preserve">======
ID#AAABAnbPbzY
Deleted user    (2023-12-06 21:45:05)
3 = 4 numbers</t>
      </text>
    </comment>
    <comment authorId="0" ref="AD46">
      <text>
        <t xml:space="preserve">======
ID#AAABAnbPbzU
Deleted user    (2023-12-06 21:45:00)
2 = 3 numbers</t>
      </text>
    </comment>
    <comment authorId="0" ref="AC46">
      <text>
        <t xml:space="preserve">======
ID#AAABAnbPbzQ
Deleted user    (2023-12-06 21:44:56)
1 = 2 numbers</t>
      </text>
    </comment>
    <comment authorId="0" ref="AG46">
      <text>
        <t xml:space="preserve">======
ID#AAABAnbPbzM
Deleted user    (2023-12-06 21:44:50)
The student will imitate a sequence of numbers when you say, "Say _".</t>
      </text>
    </comment>
    <comment authorId="0" ref="AF47">
      <text>
        <t xml:space="preserve">======
ID#AAABAnbPbzI
Deleted user    (2023-12-06 21:44:38)
4 = readily and accurately imitates phrases of 6 or more words</t>
      </text>
    </comment>
    <comment authorId="0" ref="Y108">
      <text>
        <t xml:space="preserve">======
ID#AAABAnbPbzE
Ester Casarez    (2023-12-06 21:44:27)
2= readily acquires new skills</t>
      </text>
    </comment>
    <comment authorId="0" ref="AE47">
      <text>
        <t xml:space="preserve">======
ID#AAABAnbPbzA
Deleted user    (2023-12-06 21:44:25)
3 = 4-word phrases</t>
      </text>
    </comment>
    <comment authorId="0" ref="AD47">
      <text>
        <t xml:space="preserve">======
ID#AAABAnbPby8
Deleted user    (2023-12-06 21:44:20)
2 = 3-word phrases</t>
      </text>
    </comment>
    <comment authorId="0" ref="W108">
      <text>
        <t xml:space="preserve">======
ID#AAABAnbPby4
Ester Casarez    (2023-12-06 21:44:19)
1= acquires some skills with repetitive exposure to the material</t>
      </text>
    </comment>
    <comment authorId="0" ref="AC47">
      <text>
        <t xml:space="preserve">======
ID#AAABAnbPby0
Deleted user    (2023-12-06 21:44:14)
1 = 2-word phrases</t>
      </text>
    </comment>
    <comment authorId="0" ref="AG47">
      <text>
        <t xml:space="preserve">======
ID#AAABAnbPbyw
Deleted user    (2023-12-06 21:44:07)
The student will imitate a phrase when you say, "Say _".</t>
      </text>
    </comment>
    <comment authorId="0" ref="Y109">
      <text>
        <t xml:space="preserve">======
ID#AAABAnbPbys
Ester Casarez    (2023-12-06 21:44:02)
2= takes turns appropriately &amp; 75% time without prompts</t>
      </text>
    </comment>
    <comment authorId="0" ref="AF48">
      <text>
        <t xml:space="preserve">======
ID#AAABAnbPbyo
Deleted user    (2023-12-06 21:43:51)
4 = readily and accurately imitates almost any word</t>
      </text>
    </comment>
    <comment authorId="0" ref="W109">
      <text>
        <t xml:space="preserve">======
ID#AAABAnbPbyk
Ester Casarez    (2023-12-06 21:43:50)
1= 75% with prompts</t>
      </text>
    </comment>
    <comment authorId="0" ref="Y110">
      <text>
        <t xml:space="preserve">======
ID#AAABAnbPbyg
Ester Casarez    (2023-12-06 21:43:35)
2= can independently raise hand and answer known questions</t>
      </text>
    </comment>
    <comment authorId="0" ref="AE48">
      <text>
        <t xml:space="preserve">======
ID#AAABAnbPbyc
Deleted user    (2023-12-06 21:43:32)
3 = closely approximates 15 words</t>
      </text>
    </comment>
    <comment authorId="0" ref="W110">
      <text>
        <t xml:space="preserve">======
ID#AAABAnbPbyY
Ester Casarez    (2023-12-06 21:43:26)
1= requires only a gestural prompt for less than 50 % of known questions to raise hand and answer</t>
      </text>
    </comment>
    <comment authorId="0" ref="AD48">
      <text>
        <t xml:space="preserve">======
ID#AAABAnbPbyU
Deleted user    (2023-12-06 21:43:25)
2 = closely approximates 5 words</t>
      </text>
    </comment>
    <comment authorId="0" ref="AC48">
      <text>
        <t xml:space="preserve">======
ID#AAABAnbPbyQ
Deleted user    (2023-12-06 21:43:16)
1 = closely approximates 2 words</t>
      </text>
    </comment>
    <comment authorId="0" ref="Y111">
      <text>
        <t xml:space="preserve">======
ID#AAABAnbPbyM
Ester Casarez    (2023-12-06 21:43:07)
2= can independently raise hand and name known items</t>
      </text>
    </comment>
    <comment authorId="0" ref="W111">
      <text>
        <t xml:space="preserve">======
ID#AAABAnbPbyI
Ester Casarez    (2023-12-06 21:42:58)
1= requires only a gestural prompt for less than 50 % of known questions to raise hand and answer</t>
      </text>
    </comment>
    <comment authorId="0" ref="AG48">
      <text>
        <t xml:space="preserve">======
ID#AAABAnbPbyE
Deleted user    (2023-12-06 21:42:47)
The student will imitate a word when you say, "Say _".</t>
      </text>
    </comment>
    <comment authorId="0" ref="Y112">
      <text>
        <t xml:space="preserve">======
ID#AAABAnbPbyA
Ester Casarez    (2023-12-06 21:42:39)
2= can independently respond to questions</t>
      </text>
    </comment>
    <comment authorId="0" ref="W112">
      <text>
        <t xml:space="preserve">======
ID#AAABAnbPbx8
Ester Casarez    (2023-12-06 21:42:28)
1= requires only a gestural prompt for less than 50 % of known questions.</t>
      </text>
    </comment>
    <comment authorId="0" ref="Y113">
      <text>
        <t xml:space="preserve">======
ID#AAABAnbPbx4
Ester Casarez    (2023-12-06 21:42:10)
2= independently raises hand to request to be selected to do a preferred activity on at least 50% of opportunities presented to a group of at least 8 students</t>
      </text>
    </comment>
    <comment authorId="0" ref="W113">
      <text>
        <t xml:space="preserve">======
ID#AAABAnbPbx0
Ester Casarez    (2023-12-06 21:41:59)
1= independently raises hand to request to be selected to do a preferred activity on at least 50% of opportunities presented to a group of at least 4 students</t>
      </text>
    </comment>
    <comment authorId="0" ref="AF49">
      <text>
        <t xml:space="preserve">======
ID#AAABAnbPbxw
Deleted user    (2023-12-06 21:41:54)
4 = readily and accurately imitates almost any word with consonant blends in any position</t>
      </text>
    </comment>
    <comment authorId="0" ref="AE49">
      <text>
        <t xml:space="preserve">======
ID#AAABAnbPbxs
Deleted user    (2023-12-06 21:41:46)
3 = 15 words with consonant blends can be accurately imitated</t>
      </text>
    </comment>
    <comment authorId="0" ref="Z114">
      <text>
        <t xml:space="preserve">======
ID#AAABAnbPbxo
Ester Casarez    (2023-12-06 21:41:36)
4= In a 1:4 group responds at the same time as others respond for 75% of known instructions</t>
      </text>
    </comment>
    <comment authorId="0" ref="AD49">
      <text>
        <t xml:space="preserve">======
ID#AAABAnbPbxk
Deleted user    (2023-12-06 21:41:32)
2 = 5 words</t>
      </text>
    </comment>
    <comment authorId="0" ref="AC49">
      <text>
        <t xml:space="preserve">======
ID#AAABAnXwXsA
Deleted user    (2023-12-06 21:41:28)
1 = 2 words</t>
      </text>
    </comment>
    <comment authorId="0" ref="Y114">
      <text>
        <t xml:space="preserve">======
ID#AAABAnXwXr8
Ester Casarez    (2023-12-06 21:41:26)
3= 1:3 group 75%</t>
      </text>
    </comment>
    <comment authorId="0" ref="AG49">
      <text>
        <t xml:space="preserve">======
ID#AAABAnXwXr4
Deleted user    (2023-12-06 21:41:20)
When a word which contains
consonant blends are modeled for the student, he will be able to accurately imitate the words.</t>
      </text>
    </comment>
    <comment authorId="0" ref="X114">
      <text>
        <t xml:space="preserve">======
ID#AAABAnXwXr0
Ester Casarez    (2023-12-06 21:41:14)
2= 1:2 group for 75%</t>
      </text>
    </comment>
    <comment authorId="0" ref="W114">
      <text>
        <t xml:space="preserve">======
ID#AAABAnXwXrw
Ester Casarez    (2023-12-06 21:40:59)
1= 1:2 group for 50% of known instructions</t>
      </text>
    </comment>
    <comment authorId="0" ref="AE50">
      <text>
        <t xml:space="preserve">======
ID#AAABAnXwXrs
Deleted user    (2023-12-06 21:40:58)
2 = can repeat at least 12
consonant-vowel- consonant sound combinations (words) without breaks between the sounds</t>
      </text>
    </comment>
    <comment authorId="0" ref="AC50">
      <text>
        <t xml:space="preserve">======
ID#AAABAnXwXro
Deleted user    (2023-12-06 21:40:50)
1 = can repeat at least 3 consonant-vowel- consonant sound combinations (words) without breaks between the sounds</t>
      </text>
    </comment>
    <comment authorId="0" ref="AG50">
      <text>
        <t xml:space="preserve">======
ID#AAABAnXwXrk
Deleted user    (2023-12-06 21:40:43)
The student will be able to repeat sound combinations (words) in which the model requires the student to repeat consonant- vowel-consonant combinations (e.g., "mom," "dad," "top," "pig").</t>
      </text>
    </comment>
    <comment authorId="0" ref="Z115">
      <text>
        <t xml:space="preserve">======
ID#AAABAnXwXrg
Ester Casarez    (2023-12-06 21:40:30)
4= In a 1:4 group responds at the same time as others respond for 75% of known instructions</t>
      </text>
    </comment>
    <comment authorId="0" ref="Y115">
      <text>
        <t xml:space="preserve">======
ID#AAABAnXwXrc
Ester Casarez    (2023-12-06 21:40:21)
3= 1:3 group 75%</t>
      </text>
    </comment>
    <comment authorId="0" ref="X115">
      <text>
        <t xml:space="preserve">======
ID#AAABAnXwXrY
Ester Casarez    (2023-12-06 21:40:08)
2= 1:2 group for 75%</t>
      </text>
    </comment>
    <comment authorId="0" ref="AE51">
      <text>
        <t xml:space="preserve">======
ID#AAABAnXwXrU
Deleted user    (2023-12-06 21:40:08)
2 = can repeat at least 6
consonant-vowel- consonant-vowel sound combinations without breaks between the sounds</t>
      </text>
    </comment>
    <comment authorId="0" ref="AC51">
      <text>
        <t xml:space="preserve">======
ID#AAABAnXwXrQ
Deleted user    (2023-12-06 21:39:58)
1 = can repeat at least 3 consonant-vowel- consonant-vowel sound combinations without breaks between the sounds</t>
      </text>
    </comment>
    <comment authorId="0" ref="W115">
      <text>
        <t xml:space="preserve">======
ID#AAABAnXwXrM
Ester Casarez    (2023-12-06 21:39:54)
1= 1:2 group for 50% of known instructions</t>
      </text>
    </comment>
    <comment authorId="0" ref="AG51">
      <text>
        <t xml:space="preserve">======
ID#AAABAnXwXrI
Deleted user    (2023-12-06 21:39:47)
The student will be able to repeat sound combinations in which the model requires the student to repeat consonant-vowel-consonant-vowel combinations (e.g., "mama," "dada," "peepee," "meme").</t>
      </text>
    </comment>
    <comment authorId="0" ref="Z116">
      <text>
        <t xml:space="preserve">======
ID#AAABAnXwXrE
Ester Casarez    (2023-12-06 21:39:24)
4= 1:4 group for 75% of time</t>
      </text>
    </comment>
    <comment authorId="0" ref="AE52">
      <text>
        <t xml:space="preserve">======
ID#AAABAnXwXrA
Deleted user    (2023-12-06 21:39:16)
2 = can repeat at least 3 vowel-consonant and 3 consonant-vowel sound combinations without breaks between the two sounds</t>
      </text>
    </comment>
    <comment authorId="0" ref="Y116">
      <text>
        <t xml:space="preserve">======
ID#AAABAnXwXq8
Ester Casarez    (2023-12-06 21:39:15)
3= 1:3 group 75%</t>
      </text>
    </comment>
    <comment authorId="0" ref="AC52">
      <text>
        <t xml:space="preserve">======
ID#AAABAnXwXq4
Deleted user    (2023-12-06 21:39:07)
1 = can repeat at least 3 vowel-consonant or consonant-vowel sound combinations without breaks between the two sounds</t>
      </text>
    </comment>
    <comment authorId="0" ref="X116">
      <text>
        <t xml:space="preserve">======
ID#AAABAnXwXq0
Ester Casarez    (2023-12-06 21:39:02)
2= 1:2 group for 75%</t>
      </text>
    </comment>
    <comment authorId="0" ref="AG52">
      <text>
        <t xml:space="preserve">======
ID#AAABAnXwXqw
Deleted user    (2023-12-06 21:39:00)
The student will be able to
repeat sound combinations in
which the model requires the
student to repeat consonant-vowel and vowel consonant combinations (e.g., "eat," "up," "go," "me").</t>
      </text>
    </comment>
    <comment authorId="0" ref="W116">
      <text>
        <t xml:space="preserve">======
ID#AAABAnXwXqs
Ester Casarez    (2023-12-06 21:38:47)
1= 1:2 group for 50% of time</t>
      </text>
    </comment>
    <comment authorId="0" ref="AE53">
      <text>
        <t xml:space="preserve">======
ID#AAABAnXwXqo
Deleted user    (2023-12-06 21:38:21)
2 = can smoothly switch between at least 4 held/ elongated sounds to at least 4 other sounds</t>
      </text>
    </comment>
    <comment authorId="0" ref="AC53">
      <text>
        <t xml:space="preserve">======
ID#AAABAnXwXqk
Deleted user    (2023-12-06 21:38:13)
1 = can smoothly switch between at least 2 held/elongated sounds to at least 2 other sounds</t>
      </text>
    </comment>
    <comment authorId="0" ref="AG53">
      <text>
        <t xml:space="preserve">======
ID#AAABAnXwXqg
Deleted user    (2023-12-06 21:38:04)
The student will be able to
repeat sound combinations in
which the model requires the student to hold or elongate the first sound and smoothly transition to a second sound (not merely say two separate sounds).</t>
      </text>
    </comment>
    <comment authorId="0" ref="Z117">
      <text>
        <t xml:space="preserve">======
ID#AAABAnXwXqc
Ester Casarez    (2023-12-06 21:37:49)
4= 1:4 group for 75% of time</t>
      </text>
    </comment>
    <comment authorId="0" ref="Y117">
      <text>
        <t xml:space="preserve">======
ID#AAABAnXwXqY
Ester Casarez    (2023-12-06 21:37:37)
3= 1:3 group 75%</t>
      </text>
    </comment>
    <comment authorId="0" ref="X117">
      <text>
        <t xml:space="preserve">======
ID#AAABAnXwXqU
Ester Casarez    (2023-12-06 21:37:24)
2= 1:2 group for 75%</t>
      </text>
    </comment>
    <comment authorId="0" ref="AE54">
      <text>
        <t xml:space="preserve">======
ID#AAABAnXwXqQ
Deleted user    (2023-12-06 21:37:20)
2 = imitates any number of up to three repetitions of a sound without prompts</t>
      </text>
    </comment>
    <comment authorId="0" ref="AC54">
      <text>
        <t xml:space="preserve">======
ID#AAABAnXwXqM
Deleted user    (2023-12-06 21:37:12)
1 = imitates any number of up to three repetitions of a sound when provided with only gestural prompts</t>
      </text>
    </comment>
    <comment authorId="0" ref="AG54">
      <text>
        <t xml:space="preserve">======
ID#AAABAnXwXqI
Deleted user    (2023-12-06 21:37:04)
Upon request, student will imitate a sound for the same number of repetitions as was just modeled.</t>
      </text>
    </comment>
    <comment authorId="0" ref="AE55">
      <text>
        <t xml:space="preserve">======
ID#AAABAnXwXqE
Deleted user    (2023-12-06 21:36:56)
2 = readily imitates sounds matching the speed of the model</t>
      </text>
    </comment>
    <comment authorId="0" ref="AC55">
      <text>
        <t xml:space="preserve">======
ID#AAABAnXwXqA
Deleted user    (2023-12-06 21:36:44)
1 = requires only gestural prompts to match the speed of the model</t>
      </text>
    </comment>
    <comment authorId="0" ref="AG55">
      <text>
        <t xml:space="preserve">======
ID#AAABAnXwXp8
Deleted user    (2023-12-06 21:36:39)
The student will be able to
repeat sounds matching the speed of the presented sound.</t>
      </text>
    </comment>
    <comment authorId="0" ref="W117">
      <text>
        <t xml:space="preserve">======
ID#AAABAnXwXp4
Ester Casarez    (2023-12-06 21:36:38)
1= 1:2 group for 50% of time</t>
      </text>
    </comment>
    <comment authorId="0" ref="AE56">
      <text>
        <t xml:space="preserve">======
ID#AAABAnXwXp0
Deleted user    (2023-12-06 21:36:29)
2 = can repeat at least 4 pairs of sound combinations for at least 4 starting sounds</t>
      </text>
    </comment>
    <comment authorId="0" ref="AC56">
      <text>
        <t xml:space="preserve">======
ID#AAABAnXwXpw
Deleted user    (2023-12-06 21:36:22)
1 = can repeat at least 3 pairs of sound combinations for at least 2 starting sounds</t>
      </text>
    </comment>
    <comment authorId="0" ref="AG56">
      <text>
        <t xml:space="preserve">======
ID#AAABAnXwXps
Deleted user    (2023-12-06 21:36:12)
The student will be able to repeat a variety of separate sounds in combination in which the student must attend to both sounds.</t>
      </text>
    </comment>
    <comment authorId="0" ref="AF57">
      <text>
        <t xml:space="preserve">======
ID#AAABAnXwXpo
Deleted user    (2023-12-06 21:36:04)
4 = readily and accurately imitates at least the first sound of almost any word</t>
      </text>
    </comment>
    <comment authorId="0" ref="AE57">
      <text>
        <t xml:space="preserve">======
ID#AAABAnXwXpk
Deleted user    (2023-12-06 21:35:56)
3 = 15 sounds</t>
      </text>
    </comment>
    <comment authorId="0" ref="AD57">
      <text>
        <t xml:space="preserve">======
ID#AAABAnXwXpg
Deleted user    (2023-12-06 21:35:52)
2 = 5 sounds</t>
      </text>
    </comment>
    <comment authorId="0" ref="AC57">
      <text>
        <t xml:space="preserve">======
ID#AAABAnXwXpc
Deleted user    (2023-12-06 21:35:48)
1 = 2 sounds</t>
      </text>
    </comment>
    <comment authorId="0" ref="AG57">
      <text>
        <t xml:space="preserve">======
ID#AAABAnXwXpY
Deleted user    (2023-12-06 21:35:43)
When a word is modeled for the student, he will be able to imitate the initial sounds of that word.</t>
      </text>
    </comment>
    <comment authorId="0" ref="Z118">
      <text>
        <t xml:space="preserve">======
ID#AAABAnXwXpU
Ester Casarez    (2023-12-06 21:35:38)
4= 1:16 group for 15 min.</t>
      </text>
    </comment>
    <comment authorId="0" ref="Y118">
      <text>
        <t xml:space="preserve">======
ID#AAABAnXwXpQ
Ester Casarez    (2023-12-06 21:35:28)
3= 1:12 (OR 2:16) for 15 min.</t>
      </text>
    </comment>
    <comment authorId="0" ref="AE58">
      <text>
        <t xml:space="preserve">======
ID#AAABAnXwXpM
Deleted user    (2023-12-06 21:35:27)
2 = can repeat at least 10
separate sounds in 15 seconds</t>
      </text>
    </comment>
    <comment authorId="0" ref="AC58">
      <text>
        <t xml:space="preserve">======
ID#AAABAnXwXpI
Deleted user    (2023-12-06 21:35:19)
1 = can repeat 5 separate sounds in 10 seconds</t>
      </text>
    </comment>
    <comment authorId="0" ref="X118">
      <text>
        <t xml:space="preserve">======
ID#AAABAnXwXpE
Ester Casarez    (2023-12-06 21:35:15)
2= 1:8 for 15 min.</t>
      </text>
    </comment>
    <comment authorId="0" ref="AG58">
      <text>
        <t xml:space="preserve">======
ID#AAABAnXwXpA
Deleted user    (2023-12-06 21:35:10)
The student will be able to repeat a series of individual sounds presented in quick succession.</t>
      </text>
    </comment>
    <comment authorId="0" ref="W118">
      <text>
        <t xml:space="preserve">======
ID#AAABAnXwXo8
Ester Casarez    (2023-12-06 21:35:04)
1= 1:6 for 15 min.</t>
      </text>
    </comment>
    <comment authorId="0" ref="AF59">
      <text>
        <t xml:space="preserve">======
ID#AAABAnXwXo4
Deleted user    (2023-12-06 21:35:03)
4 = readily and accurately imitates almost any sound</t>
      </text>
    </comment>
    <comment authorId="0" ref="AE59">
      <text>
        <t xml:space="preserve">======
ID#AAABAnXwXo0
Deleted user    (2023-12-06 21:34:52)
3 = 15 sounds</t>
      </text>
    </comment>
    <comment authorId="0" ref="AD59">
      <text>
        <t xml:space="preserve">======
ID#AAABAnXwXow
Deleted user    (2023-12-06 21:34:49)
2 = 5 sounds</t>
      </text>
    </comment>
    <comment authorId="0" ref="AC59">
      <text>
        <t xml:space="preserve">======
ID#AAABAnXwXos
Deleted user    (2023-12-06 21:34:44)
1 = 2 sounds</t>
      </text>
    </comment>
    <comment authorId="0" ref="AG59">
      <text>
        <t xml:space="preserve">======
ID#AAABAnXwXoo
Deleted user    (2023-12-06 21:34:38)
The student will imitate a sound when you say, "Say _."</t>
      </text>
    </comment>
    <comment authorId="0" ref="Z33">
      <text>
        <t xml:space="preserve">======
ID#AAABAnXwXok
Deleted user    (2023-12-06 21:33:10)
4 = label and imitate numerous actions observed 4 hours ago</t>
      </text>
    </comment>
    <comment authorId="0" ref="Y33">
      <text>
        <t xml:space="preserve">======
ID#AAABAnXwXog
Deleted user    (2023-12-06 21:33:02)
3 = label and imitate after 1 hour</t>
      </text>
    </comment>
    <comment authorId="0" ref="X33">
      <text>
        <t xml:space="preserve">======
ID#AAABAnXwXoc
Deleted user    (2023-12-06 21:32:50)
2 = label and imitate after 10 minutes</t>
      </text>
    </comment>
    <comment authorId="0" ref="W33">
      <text>
        <t xml:space="preserve">======
ID#AAABAnXwXoY
Deleted user    (2023-12-06 21:32:43)
1 = upon request, 1 action after 5 minutes</t>
      </text>
    </comment>
    <comment authorId="0" ref="AA33">
      <text>
        <t xml:space="preserve">======
ID#AAABAnXwXoU
Deleted user    (2023-12-06 21:32:31)
Upon request or when labeling his own actions, student will be able to
demonstrate actions which he observed several hours earlier in the day.</t>
      </text>
    </comment>
    <comment authorId="0" ref="Z34">
      <text>
        <t xml:space="preserve">======
ID#AAABAnXwXoQ
Deleted user    (2023-12-06 21:32:09)
4 = at least 10 actions and readily imitates novel actions (not necessary to be a sequence of 10)</t>
      </text>
    </comment>
    <comment authorId="0" ref="Y34">
      <text>
        <t xml:space="preserve">======
ID#AAABAnXwXoM
Deleted user    (2023-12-06 21:31:52)
3 = 10 actions</t>
      </text>
    </comment>
    <comment authorId="0" ref="X34">
      <text>
        <t xml:space="preserve">======
ID#AAABAnXwXoI
Deleted user    (2023-12-06 21:31:48)
2 = 5 actions</t>
      </text>
    </comment>
    <comment authorId="0" ref="W34">
      <text>
        <t xml:space="preserve">======
ID#AAABAnXwXoE
Deleted user    (2023-12-06 21:31:42)
1 = 2 actions</t>
      </text>
    </comment>
    <comment authorId="0" ref="AA34">
      <text>
        <t xml:space="preserve">======
ID#AAABAnXwXoA
Deleted user    (2023-12-06 21:31:34)
Student will spontaneously imitate a gross motor activity modeled by an individual who is not standing directly in front of the student.</t>
      </text>
    </comment>
    <comment authorId="0" ref="Z35">
      <text>
        <t xml:space="preserve">======
ID#AAABAnXwXn4
Deleted user    (2023-12-06 21:31:09)
4 = at least 10 actions and readily imitates novel actions</t>
      </text>
    </comment>
    <comment authorId="0" ref="Y35">
      <text>
        <t xml:space="preserve">======
ID#AAABAnXwXn0
Deleted user    (2023-12-06 21:09:32)
3 = 10 actions</t>
      </text>
    </comment>
    <comment authorId="0" ref="X35">
      <text>
        <t xml:space="preserve">======
ID#AAABAnXwXnw
Deleted user    (2023-12-06 21:09:27)
2 = 5 actions</t>
      </text>
    </comment>
    <comment authorId="0" ref="W35">
      <text>
        <t xml:space="preserve">======
ID#AAABAnXwXns
Deleted user    (2023-12-06 21:09:22)
1 = 2 actions</t>
      </text>
    </comment>
    <comment authorId="0" ref="AA35">
      <text>
        <t xml:space="preserve">======
ID#AAABAnXwXno
Deleted user    (2023-12-06 21:09:18)
Without being told to imitate each action, student will imitate gross motor actions modeled by an individual, for the social recognition of being able to match the actions.</t>
      </text>
    </comment>
    <comment authorId="0" ref="Y36">
      <text>
        <t xml:space="preserve">======
ID#AAABAnXwXnk
Deleted user    (2023-12-06 21:08:41)
2 = can replicate at least 6 different sequences of at least three actions involving 4 objects with the original model remaining visible</t>
      </text>
    </comment>
    <comment authorId="0" ref="W36">
      <text>
        <t xml:space="preserve">======
ID#AAABAnXwXng
Deleted user    (2023-12-06 21:08:30)
1 = can replicate at least 6 different sequences of at least two actions involving 4 objects with the original model remaining visible</t>
      </text>
    </comment>
    <comment authorId="0" ref="AA36">
      <text>
        <t xml:space="preserve">======
ID#AAABAnXwXnc
Deleted user    (2023-12-06 21:08:19)
Upon request, student will imitate a sequence of actions using multiple objects.</t>
      </text>
    </comment>
    <comment authorId="0" ref="Y37">
      <text>
        <t xml:space="preserve">======
ID#AAABAnXwXnY
Deleted user    (2023-12-06 21:08:03)
2 = imitates up to three repetitions of at least 4 different motor and vocal response combinations without prompts</t>
      </text>
    </comment>
    <comment authorId="0" ref="W37">
      <text>
        <t xml:space="preserve">======
ID#AAABAnXwXnU
Deleted user    (2023-12-06 21:07:56)
1 = imitates at least one motor and vocal response combination without prompts</t>
      </text>
    </comment>
    <comment authorId="0" ref="AA37">
      <text>
        <t xml:space="preserve">======
ID#AAABAnXwXnQ
Deleted user    (2023-12-06 21:07:48)
Upon request, student will
imitate a motor movement
along with a corresponding vocalization.</t>
      </text>
    </comment>
    <comment authorId="0" ref="Y38">
      <text>
        <t xml:space="preserve">======
ID#AAABAnXwXnM
Deleted user    (2023-12-06 21:07:14)
2 = imitates any number of up to three repetitions of a response without prompts</t>
      </text>
    </comment>
    <comment authorId="0" ref="W38">
      <text>
        <t xml:space="preserve">======
ID#AAABAnXwXnI
Deleted user    (2023-12-06 21:06:52)
1 = imitates any number of up to three repetitions of a response when provided with only verbal or gestural prompts</t>
      </text>
    </comment>
    <comment authorId="0" ref="AA38">
      <text>
        <t xml:space="preserve">======
ID#AAABAnXwXnE
Deleted user    (2023-12-06 21:06:44)
Upon request, student will imitate a motor movement for the same number of repetitions as was just modeled.</t>
      </text>
    </comment>
    <comment authorId="0" ref="Y39">
      <text>
        <t xml:space="preserve">======
ID#AAABAnXvBf8
Deleted user    (2023-12-06 21:06:00)
2 = readily imitates actions matching the intensity of the model</t>
      </text>
    </comment>
    <comment authorId="0" ref="W39">
      <text>
        <t xml:space="preserve">======
ID#AAABAnXvBf4
Deleted user    (2023-12-06 21:05:52)
1 = requires only verbal prompts to match the intensity of the model</t>
      </text>
    </comment>
    <comment authorId="0" ref="AA39">
      <text>
        <t xml:space="preserve">======
ID#AAABAnXvBf0
Deleted user    (2023-12-06 21:05:45)
Upon request, student will imitate a gross motor activity matching the intensity of the model.</t>
      </text>
    </comment>
    <comment authorId="0" ref="Z40">
      <text>
        <t xml:space="preserve">======
ID#AAABAnXvBfw
Deleted user    (2023-12-06 21:05:22)
4 = at least 10 sequences or two actions &amp; readily imitates novel sequences</t>
      </text>
    </comment>
    <comment authorId="0" ref="Y40">
      <text>
        <t xml:space="preserve">======
ID#AAABAnXvBfs
Deleted user    (2023-12-06 21:05:12)
3 = 10 sequences of two actions</t>
      </text>
    </comment>
    <comment authorId="0" ref="X40">
      <text>
        <t xml:space="preserve">======
ID#AAABAnXvBfo
Deleted user    (2023-12-06 21:05:05)
2 = 5 sequences of two actions</t>
      </text>
    </comment>
    <comment authorId="0" ref="W40">
      <text>
        <t xml:space="preserve">======
ID#AAABAnXvBfk
Deleted user    (2023-12-06 21:04:57)
1 = 2 sequences of two actions after a sequence has been modeled</t>
      </text>
    </comment>
    <comment authorId="0" ref="AA40">
      <text>
        <t xml:space="preserve">======
ID#AAABAnXvBfg
Deleted user    (2023-12-06 21:04:45)
Upon request, student will imitate a sequence of motor activities.</t>
      </text>
    </comment>
    <comment authorId="0" ref="Y41">
      <text>
        <t xml:space="preserve">======
ID#AAABAnXvBfc
Deleted user    (2023-12-06 21:03:37)
2 = can imitate a sequence of 6 different modeled actions within 10 seconds</t>
      </text>
    </comment>
    <comment authorId="0" ref="W41">
      <text>
        <t xml:space="preserve">======
ID#AAABAnXvBfY
Deleted user    (2023-12-06 21:03:30)
1 = can imitate a sequence of 4 different modeled actions within 10 seconds</t>
      </text>
    </comment>
    <comment authorId="0" ref="AA41">
      <text>
        <t xml:space="preserve">======
ID#AAABAnXvBfQ
Deleted user    (2023-12-06 21:03:10)
Upon request, student will imitate a sequence of motor actions along with a model immediately switching from one action to another following the lead of the model.</t>
      </text>
    </comment>
    <comment authorId="0" ref="Y42">
      <text>
        <t xml:space="preserve">======
ID#AAABAnXvBfM
Deleted user    (2023-12-06 21:02:55)
2 = can imitate touching any sequence of touching 4 of 6 items immediately following a demonstration</t>
      </text>
    </comment>
    <comment authorId="0" ref="W42">
      <text>
        <t xml:space="preserve">======
ID#AAABAnXvBfI
Deleted user    (2023-12-06 21:02:47)
1 = can imitate touching any sequence of touching 2 of 4 items immediately following a demonstration</t>
      </text>
    </comment>
    <comment authorId="0" ref="AA42">
      <text>
        <t xml:space="preserve">======
ID#AAABAnXvBfE
Deleted user    (2023-12-06 21:02:18)
Upon request, student will imitate touching objects in a sequence after the sequence of items to be touched has been demonstrated.</t>
      </text>
    </comment>
    <comment authorId="0" ref="Y43">
      <text>
        <t xml:space="preserve">======
ID#AAABAnXvBfA
Deleted user    (2023-12-06 21:02:03)
2 = readily imitates actions matching the speed of the model</t>
      </text>
    </comment>
    <comment authorId="0" ref="W43">
      <text>
        <t xml:space="preserve">======
ID#AAABAnXvBe8
Deleted user    (2023-12-06 21:01:54)
1 = requires only verbal prompts to match the speed of the model</t>
      </text>
    </comment>
    <comment authorId="0" ref="AA43">
      <text>
        <t xml:space="preserve">======
ID#AAABAnXvBe4
Deleted user    (2023-12-06 21:01:34)
Upon request, student will
imitate a gross motor activity matching the speed of the model.</t>
      </text>
    </comment>
    <comment authorId="0" ref="Y44">
      <text>
        <t xml:space="preserve">======
ID#AAABAnXvBe0
Deleted user    (2023-12-06 21:01:20)
2 = readily imitates actions with objects matching the speed of the action immediately following a demonstration</t>
      </text>
    </comment>
    <comment authorId="0" ref="W44">
      <text>
        <t xml:space="preserve">======
ID#AAABAnXvBew
Deleted user    (2023-12-06 21:01:03)
1 = requires only one verbal prompt to match the speed of the action immediately following a demonstration</t>
      </text>
    </comment>
    <comment authorId="0" ref="AA44">
      <text>
        <t xml:space="preserve">======
ID#AAABAnXvBes
Deleted user    (2023-12-06 21:00:57)
Upon request, student will imitate a motor activity involving manipulating an object matching the speed of a recently modeled action.</t>
      </text>
    </comment>
    <comment authorId="0" ref="Y45">
      <text>
        <t xml:space="preserve">======
ID#AAABAnXvBeo
Deleted user    (2023-12-06 21:00:21)
2 = readily imitates actions matching the speed of the ongoing model</t>
      </text>
    </comment>
    <comment authorId="0" ref="W45">
      <text>
        <t xml:space="preserve">======
ID#AAABAnXvBek
Deleted user    (2023-12-06 21:00:13)
1 = requires only verbal prompts to match the speed of the ongoing model</t>
      </text>
    </comment>
    <comment authorId="0" ref="AA45">
      <text>
        <t xml:space="preserve">======
ID#AAABAnXvBeg
Deleted user    (2023-12-06 21:00:05)
Upon request, student will
imitate a motor activity involving manipulating an object matching the speed of the ongoing model.</t>
      </text>
    </comment>
    <comment authorId="0" ref="Y46">
      <text>
        <t xml:space="preserve">======
ID#AAABAnXvBec
Deleted user    (2023-12-06 20:58:23)
2 = imitates both a short and a sustained blowing action of at least 2 seconds duration</t>
      </text>
    </comment>
    <comment authorId="0" ref="W46">
      <text>
        <t xml:space="preserve">======
ID#AAABAnXvBeY
Deleted user    (2023-12-06 20:58:15)
1 = can imitate either a short or an extended blowing action</t>
      </text>
    </comment>
    <comment authorId="0" ref="AA46">
      <text>
        <t xml:space="preserve">======
ID#AAABAnXvBeU
Deleted user    (2023-12-06 20:58:06)
Upon request, student will imitate both short and sustained blowing actions when modeled by others.</t>
      </text>
    </comment>
    <comment authorId="0" ref="Y47">
      <text>
        <t xml:space="preserve">======
ID#AAABAnXvBeQ
Deleted user    (2023-12-06 20:58:00)
2 = can imitate any sequence of touching 4 of 6 items</t>
      </text>
    </comment>
    <comment authorId="0" ref="W47">
      <text>
        <t xml:space="preserve">======
ID#AAABAnXvBeM
Deleted user    (2023-12-06 20:57:50)
1 = can imitate any sequence of touching 2 of 4 items</t>
      </text>
    </comment>
    <comment authorId="0" ref="AA47">
      <text>
        <t xml:space="preserve">======
ID#AAABAnXvBeI
Deleted user    (2023-12-06 20:57:41)
Upon request, student will imitate touching objects in a sequence at the same time as a person modeling the sequence.</t>
      </text>
    </comment>
    <comment authorId="0" ref="Z48">
      <text>
        <t xml:space="preserve">======
ID#AAABAnXvBeE
Deleted user    (2023-12-06 20:57:18)
4 = at least 10 actions and readily imitates novel actions</t>
      </text>
    </comment>
    <comment authorId="0" ref="Y48">
      <text>
        <t xml:space="preserve">======
ID#AAABAnXvBd8
Deleted user    (2023-12-06 20:57:02)
3 = 10 actions</t>
      </text>
    </comment>
    <comment authorId="0" ref="X48">
      <text>
        <t xml:space="preserve">======
ID#AAABAnXvBd4
Deleted user    (2023-12-06 20:56:57)
2 = 5 actions</t>
      </text>
    </comment>
    <comment authorId="0" ref="W48">
      <text>
        <t xml:space="preserve">======
ID#AAABAnXvBd0
Deleted user    (2023-12-06 20:56:52)
1 = 2 actions</t>
      </text>
    </comment>
    <comment authorId="0" ref="AA48">
      <text>
        <t xml:space="preserve">======
ID#AAABAnXvBdw
Deleted user    (2023-12-06 20:56:47)
Upon request, student will imitate a fine motor activity.</t>
      </text>
    </comment>
    <comment authorId="0" ref="Z49">
      <text>
        <t xml:space="preserve">======
ID#AAABAnXvBds
Deleted user    (2023-12-06 20:53:13)
4 = at least 6 facial/oral motor movements including those that require repeated movement and those that require a held position (static)</t>
      </text>
    </comment>
    <comment authorId="0" ref="Y49">
      <text>
        <t xml:space="preserve">======
ID#AAABAnXvBdo
Deleted user    (2023-12-06 20:53:00)
3 = imitates any 6 actions</t>
      </text>
    </comment>
    <comment authorId="0" ref="X49">
      <text>
        <t xml:space="preserve">======
ID#AAABAnXvBdk
Deleted user    (2023-12-06 20:52:52)
2 = imitates any 4 actions</t>
      </text>
    </comment>
    <comment authorId="0" ref="W49">
      <text>
        <t xml:space="preserve">======
ID#AAABAnXvBdg
Deleted user    (2023-12-06 20:52:43)
1 = imitates any 2 facial/oral motor actions</t>
      </text>
    </comment>
    <comment authorId="0" ref="AA49">
      <text>
        <t xml:space="preserve">======
ID#AAABAnXvBdc
Deleted user    (2023-12-06 20:52:31)
Upon request, student will imitate facial/oral motor movements that he observes being modeled by others in a mirror.</t>
      </text>
    </comment>
    <comment authorId="0" ref="Y50">
      <text>
        <t xml:space="preserve">======
ID#AAABAnXvBdY
Deleted user    (2023-12-06 20:52:22)
2 = imitates 4 actions</t>
      </text>
    </comment>
    <comment authorId="0" ref="W50">
      <text>
        <t xml:space="preserve">======
ID#AAABAnXvBdU
Deleted user    (2023-12-06 20:52:17)
1 = 2 actions</t>
      </text>
    </comment>
    <comment authorId="0" ref="AA50">
      <text>
        <t xml:space="preserve">======
ID#AAABAnXvBdQ
Deleted user    (2023-12-06 20:52:09)
Upon request, student will imitate a motor activity involving mouth and tongue movements.</t>
      </text>
    </comment>
    <comment authorId="0" ref="Y51">
      <text>
        <t xml:space="preserve">======
ID#AAABAnXvBdM
Deleted user    (2023-12-06 20:51:56)
2 = imitates 3 actions</t>
      </text>
    </comment>
    <comment authorId="0" ref="W51">
      <text>
        <t xml:space="preserve">======
ID#AAABAnXvBdI
Deleted user    (2023-12-06 20:51:50)
1 = one action</t>
      </text>
    </comment>
    <comment authorId="0" ref="AA51">
      <text>
        <t xml:space="preserve">======
ID#AAABAnXvBdE
Deleted user    (2023-12-06 20:51:44)
Upon request, student will
imitate a gross motor activity involving head movements.</t>
      </text>
    </comment>
    <comment authorId="0" ref="Z52">
      <text>
        <t xml:space="preserve">======
ID#AAABAnXvBdA
Deleted user    (2023-12-06 20:51:18)
4 = at least 10 actions and readily imitates novel actions</t>
      </text>
    </comment>
    <comment authorId="0" ref="Y52">
      <text>
        <t xml:space="preserve">======
ID#AAABAnXvBc8
Deleted user    (2023-12-06 20:51:05)
3 = imitates any 10 actions</t>
      </text>
    </comment>
    <comment authorId="0" ref="X52">
      <text>
        <t xml:space="preserve">======
ID#AAABAnXvBc4
Deleted user    (2023-12-06 20:50:57)
2 = imitates any 5 actions</t>
      </text>
    </comment>
    <comment authorId="0" ref="W52">
      <text>
        <t xml:space="preserve">======
ID#AAABAnXkfBA
Deleted user    (2023-12-06 20:50:51)
1 = imitates any 2 actions</t>
      </text>
    </comment>
    <comment authorId="0" ref="AA52">
      <text>
        <t xml:space="preserve">======
ID#AAABAnXkfA8
Deleted user    (2023-12-06 20:50:37)
Upon request, student will imitate gross motor movements that he observes being modeled by others in a mirror.</t>
      </text>
    </comment>
    <comment authorId="0" ref="Y53">
      <text>
        <t xml:space="preserve">======
ID#AAABAnXkfA0
Deleted user    (2023-12-06 20:47:18)
2 = imitates known actions when given any one of 4 different instructions to imitate</t>
      </text>
    </comment>
    <comment authorId="0" ref="W53">
      <text>
        <t xml:space="preserve">======
ID#AAABAnXkfAw
Deleted user    (2023-12-06 20:47:09)
1 = imitates known actions when given any one of at least of 2 different instructions to imitate</t>
      </text>
    </comment>
    <comment authorId="0" ref="AA53">
      <text>
        <t xml:space="preserve">======
ID#AAABAnXkfAs
Deleted user    (2023-12-06 20:46:59)
The student will imitate actions when any of a variety of instructions are used to indicate that he is to imitate an action.</t>
      </text>
    </comment>
    <comment authorId="0" ref="Z54">
      <text>
        <t xml:space="preserve">======
ID#AAABAnXkfAk
Deleted user    (2023-12-06 20:46:44)
4 = at least 10 pairs of actions and readily imitates novel actions</t>
      </text>
    </comment>
    <comment authorId="0" ref="Y54">
      <text>
        <t xml:space="preserve">======
ID#AAABAnXkfAg
Deleted user    (2023-12-06 20:46:26)
3 = imitates any 10 pairs of actions</t>
      </text>
    </comment>
    <comment authorId="0" ref="X54">
      <text>
        <t xml:space="preserve">======
ID#AAABAnXkfAc
Deleted user    (2023-12-06 20:46:16)
2 = imitates any 5 pairs of actions</t>
      </text>
    </comment>
    <comment authorId="0" ref="W54">
      <text>
        <t xml:space="preserve">======
ID#AAABAnXkfAU
Deleted user    (2023-12-06 20:45:57)
1 = imitates any 2 pairs of similar actions where one response in the pair involves movement and the other is a static response</t>
      </text>
    </comment>
    <comment authorId="0" ref="AA54">
      <text>
        <t xml:space="preserve">======
ID#AAABAnXkfAQ
Deleted user    (2023-12-06 20:45:48)
Upon request, student will imitate similar actions that require him to discriminate whether the action requires either a static (held position) or a kinetic (movement)
motor movement.</t>
      </text>
    </comment>
    <comment authorId="0" ref="Z55">
      <text>
        <t xml:space="preserve">======
ID#AAABAnXkfAE
Deleted user    (2023-12-06 20:44:49)
4 = at least 10 actions and readily imitates novel actions</t>
      </text>
    </comment>
    <comment authorId="0" ref="Y55">
      <text>
        <t xml:space="preserve">======
ID#AAABAnXkfAA
Deleted user    (2023-12-06 20:44:37)
3 = 10 actions</t>
      </text>
    </comment>
    <comment authorId="0" ref="X55">
      <text>
        <t xml:space="preserve">======
ID#AAABAnXke_8
Deleted user    (2023-12-06 20:44:31)
2 = 5 actions</t>
      </text>
    </comment>
    <comment authorId="0" ref="W55">
      <text>
        <t xml:space="preserve">======
ID#AAABAnXke_4
Deleted user    (2023-12-06 20:44:27)
1 = 2 actions</t>
      </text>
    </comment>
    <comment authorId="0" ref="AA55">
      <text>
        <t xml:space="preserve">======
ID#AAABAnXke_0
Deleted user    (2023-12-06 20:44:22)
Upon request, student will imitate a gross motor activity involving arm and hand movements.</t>
      </text>
    </comment>
    <comment authorId="0" ref="Z56">
      <text>
        <t xml:space="preserve">======
ID#AAABAnXke_w
Deleted user    (2023-12-06 20:44:13)
4 = at least 10 actions and readily imitates novel actions</t>
      </text>
    </comment>
    <comment authorId="0" ref="Y56">
      <text>
        <t xml:space="preserve">======
ID#AAABAnXke_s
Deleted user    (2023-12-06 20:43:59)
3 = 10 actions</t>
      </text>
    </comment>
    <comment authorId="0" ref="X56">
      <text>
        <t xml:space="preserve">======
ID#AAABAnXke_o
Deleted user    (2023-12-06 20:43:55)
2 = 5 actions</t>
      </text>
    </comment>
    <comment authorId="0" ref="W56">
      <text>
        <t xml:space="preserve">======
ID#AAABAnXke_k
Deleted user    (2023-12-06 20:43:49)
1 = 2 actions</t>
      </text>
    </comment>
    <comment authorId="0" ref="AA56">
      <text>
        <t xml:space="preserve">======
ID#AAABAnXke_g
Deleted user    (2023-12-06 20:43:42)
Upon request, student will imitate a gross motor activity involving foot and leg movements.</t>
      </text>
    </comment>
    <comment authorId="0" ref="Z57">
      <text>
        <t xml:space="preserve">======
ID#AAABAnXke_c
Deleted user    (2023-12-06 20:43:34)
4 = at least 10 actions &amp; readily imitates novel actions</t>
      </text>
    </comment>
    <comment authorId="0" ref="Y57">
      <text>
        <t xml:space="preserve">======
ID#AAABAnXke_Y
Deleted user    (2023-12-06 20:43:23)
3 = imitates any 10 actions</t>
      </text>
    </comment>
    <comment authorId="0" ref="X57">
      <text>
        <t xml:space="preserve">======
ID#AAABAnXke_U
Deleted user    (2023-12-06 20:43:16)
2 = imitates any 5 actions</t>
      </text>
    </comment>
    <comment authorId="0" ref="W57">
      <text>
        <t xml:space="preserve">======
ID#AAABAnXke_Q
Deleted user    (2023-12-06 20:43:11)
1 = imitates any 2 actions</t>
      </text>
    </comment>
    <comment authorId="0" ref="AA57">
      <text>
        <t xml:space="preserve">======
ID#AAABAnXke_M
Deleted user    (2023-12-06 20:43:00)
Upon request, student will limitate a gross motor movement when provided with verbal prompts.</t>
      </text>
    </comment>
    <comment authorId="0" ref="Z58">
      <text>
        <t xml:space="preserve">======
ID#AAABAnXke_I
Deleted user    (2023-12-06 20:42:55)
4 = at least 10 actions and readily imitates novel actions</t>
      </text>
    </comment>
    <comment authorId="0" ref="Y58">
      <text>
        <t xml:space="preserve">======
ID#AAABAnXke_E
Deleted user    (2023-12-06 20:42:45)
3 = 10 actions</t>
      </text>
    </comment>
    <comment authorId="0" ref="X58">
      <text>
        <t xml:space="preserve">======
ID#AAABAnXke_A
Deleted user    (2023-12-06 20:42:39)
2 = 5 actions</t>
      </text>
    </comment>
    <comment authorId="0" ref="W58">
      <text>
        <t xml:space="preserve">======
ID#AAABAnXke-8
Deleted user    (2023-12-06 20:42:35)
1 = 2 actions</t>
      </text>
    </comment>
    <comment authorId="0" ref="AA58">
      <text>
        <t xml:space="preserve">======
ID#AAABAnXke-4
Deleted user    (2023-12-06 20:42:29)
Upon request, student will imitate a motor activity requiring a discrimination of an object.</t>
      </text>
    </comment>
    <comment authorId="0" ref="Z59">
      <text>
        <t xml:space="preserve">======
ID#AAABAnXke-0
Deleted user    (2023-12-06 20:42:23)
4 = at least 10 actions with at least two different actions for each object</t>
      </text>
    </comment>
    <comment authorId="0" ref="Y59">
      <text>
        <t xml:space="preserve">======
ID#AAABAnXke-w
Deleted user    (2023-12-06 20:42:07)
3 = 10 actions</t>
      </text>
    </comment>
    <comment authorId="0" ref="X59">
      <text>
        <t xml:space="preserve">======
ID#AAABAnXke-s
Deleted user    (2023-12-06 20:42:03)
2 = 5 actions</t>
      </text>
    </comment>
    <comment authorId="0" ref="W59">
      <text>
        <t xml:space="preserve">======
ID#AAABAnW-3yA
Deleted user    (2023-12-06 20:41:58)
1 = 2 actions</t>
      </text>
    </comment>
    <comment authorId="0" ref="AA59">
      <text>
        <t xml:space="preserve">======
ID#AAABAnW-3x8
Deleted user    (2023-12-06 20:40:33)
Upon request, student will imitate a motor activity with an object.</t>
      </text>
    </comment>
    <comment authorId="0" ref="T3">
      <text>
        <t xml:space="preserve">======
ID#AAABAnW-3x4
Deleted user    (2023-12-06 20:32:13)
4 = selects pictures representing at least 4 social interactions</t>
      </text>
    </comment>
    <comment authorId="0" ref="S3">
      <text>
        <t xml:space="preserve">======
ID#AAABAnW-3x0
Deleted user    (2023-12-06 20:32:05)
3 = selects at least 3 social interactions</t>
      </text>
    </comment>
    <comment authorId="0" ref="R3">
      <text>
        <t xml:space="preserve">======
ID#AAABAnW-3xw
Deleted user    (2023-12-06 20:31:57)
2 = selects at least 2 social interactions</t>
      </text>
    </comment>
    <comment authorId="0" ref="Q3">
      <text>
        <t xml:space="preserve">======
ID#AAABAnW-3xs
Deleted user    (2023-12-06 20:31:49)
1 = selects at least 1 social interaction</t>
      </text>
    </comment>
    <comment authorId="0" ref="U3">
      <text>
        <t xml:space="preserve">======
ID#AAABAnW-3xo
Deleted user    (2023-12-06 20:31:40)
The student will be able to select pictures representing a variety of social interactions (e.g., playing, arguing).</t>
      </text>
    </comment>
    <comment authorId="0" ref="T4">
      <text>
        <t xml:space="preserve">======
ID#AAABAnW-3xk
Deleted user    (2023-12-06 20:31:32)
4 = at least 3 examples from 10 categories (can be related to functions, features, or classes of items)</t>
      </text>
    </comment>
    <comment authorId="0" ref="S4">
      <text>
        <t xml:space="preserve">======
ID#AAABAnW-3xg
Deleted user    (2023-12-06 20:31:21)
3 = 3 examples from at least 5 categories</t>
      </text>
    </comment>
    <comment authorId="0" ref="R4">
      <text>
        <t xml:space="preserve">======
ID#AAABAnW-3xc
Deleted user    (2023-12-06 20:31:14)
2 = 3 examples from at least 3 categories</t>
      </text>
    </comment>
    <comment authorId="0" ref="Q4">
      <text>
        <t xml:space="preserve">======
ID#AAABAnW-3xY
Deleted user    (2023-12-06 20:31:06)
1 = 3 examples from at least 2 categories (can be related to functions, features, or classes of items)</t>
      </text>
    </comment>
    <comment authorId="0" ref="U4">
      <text>
        <t xml:space="preserve">======
ID#AAABAnW-3xU
Deleted user    (2023-12-06 20:30:41)
Student will be able to point to or select items which are non-examples of a specified category of items (e.g., not food, not yellow, not used to cook, does not have a tail).</t>
      </text>
    </comment>
    <comment authorId="0" ref="S5">
      <text>
        <t xml:space="preserve">======
ID#AAABAnW-3xQ
Deleted user    (2023-12-06 20:30:04)
2 = can select both "Same" and
"Different" items when the two displayed items vary on only one characteristic</t>
      </text>
    </comment>
    <comment authorId="0" ref="Q5">
      <text>
        <t xml:space="preserve">======
ID#AAABAnW-3xM
Deleted user    (2023-12-06 20:29:55)
1 = can select both "Same" and "Different" items when the two displayed items vary on two or more characteristics</t>
      </text>
    </comment>
    <comment authorId="0" ref="U5">
      <text>
        <t xml:space="preserve">======
ID#AAABAnW-3xI
Deleted user    (2023-12-06 20:29:43)
When the student is provided with a display of two items, then shown a third item which matches one of the two displayed items and told to either to "Find same," or to "Find different," he will select the corresponding item in the display.</t>
      </text>
    </comment>
    <comment authorId="0" ref="T6">
      <text>
        <t xml:space="preserve">======
ID#AAABAnW-3xE
Deleted user    (2023-12-06 20:29:29)
4 = at least 4 emotions</t>
      </text>
    </comment>
    <comment authorId="0" ref="S6">
      <text>
        <t xml:space="preserve">======
ID#AAABAnW-3xA
Deleted user    (2023-12-06 20:29:24)
3 = at least 3 emotions</t>
      </text>
    </comment>
    <comment authorId="0" ref="R6">
      <text>
        <t xml:space="preserve">======
ID#AAABAnW-3w8
Deleted user    (2023-12-06 20:29:19)
2 = at least 2 emotions</t>
      </text>
    </comment>
    <comment authorId="0" ref="Q6">
      <text>
        <t xml:space="preserve">======
ID#AAABAnW-3w4
Deleted user    (2023-12-06 20:29:13)
1 = at least 1 emotion</t>
      </text>
    </comment>
    <comment authorId="0" ref="U6">
      <text>
        <t xml:space="preserve">======
ID#AAABAnW-3w0
Deleted user    (2023-12-06 20:29:07)
Student will be able to select pictures of faces depicting various emotions.</t>
      </text>
    </comment>
    <comment authorId="0" ref="S7">
      <text>
        <t xml:space="preserve">======
ID#AAABAnW-3ww
Deleted user    (2023-12-06 20:28:59)
2 = selects at least 4 pictures depicting locations or activities</t>
      </text>
    </comment>
    <comment authorId="0" ref="Q7">
      <text>
        <t xml:space="preserve">======
ID#AAABAnW-3ws
Deleted user    (2023-12-06 20:28:45)
1 = selects at least 2 pictures depicting locations or activties</t>
      </text>
    </comment>
    <comment authorId="0" ref="U7">
      <text>
        <t xml:space="preserve">======
ID#AAABAnW-3wo
Deleted user    (2023-12-06 20:28:31)
Student will be able to select pictures of scenes or pictures of activities.</t>
      </text>
    </comment>
    <comment authorId="0" ref="T8">
      <text>
        <t xml:space="preserve">======
ID#AAABAnW-3wk
Deleted user    (2023-12-06 20:24:30)
4 = at least 8 pronouns</t>
      </text>
    </comment>
    <comment authorId="0" ref="S8">
      <text>
        <t xml:space="preserve">======
ID#AAABAnW-3wg
Deleted user    (2023-12-06 20:24:19)
3 = at least 4 pronouns</t>
      </text>
    </comment>
    <comment authorId="0" ref="R8">
      <text>
        <t xml:space="preserve">======
ID#AAABAnW-3wc
Deleted user    (2023-12-06 20:24:11)
2 = at least 3</t>
      </text>
    </comment>
    <comment authorId="0" ref="Q8">
      <text>
        <t xml:space="preserve">======
ID#AAABAnW-3wY
Deleted user    (2023-12-06 20:24:07)
1 = at least 2 pronouns</t>
      </text>
    </comment>
    <comment authorId="0" ref="U8">
      <text>
        <t xml:space="preserve">======
ID#AAABAnW-3wU
Deleted user    (2023-12-06 20:23:50)
The student will be able to follow instructions which include selections involving pronouns.</t>
      </text>
    </comment>
    <comment authorId="0" ref="T9">
      <text>
        <t xml:space="preserve">======
ID#AAABAnW-3wQ
Deleted user    (2023-12-06 20:20:52)
4 = at least 6 prepositions</t>
      </text>
    </comment>
    <comment authorId="0" ref="S9">
      <text>
        <t xml:space="preserve">======
ID#AAABAnW-3wM
Deleted user    (2023-12-06 20:20:45)
3 = at least 5 prepositions</t>
      </text>
    </comment>
    <comment authorId="0" ref="R9">
      <text>
        <t xml:space="preserve">======
ID#AAABAnWA_r4
Deleted user    (2023-12-06 20:20:38)
2 = at least 3 prepositions</t>
      </text>
    </comment>
    <comment authorId="0" ref="Q9">
      <text>
        <t xml:space="preserve">======
ID#AAABAnWA_r0
Deleted user    (2023-12-06 20:20:30)
1 = at least 2 prepositions</t>
      </text>
    </comment>
    <comment authorId="0" ref="U9">
      <text>
        <t xml:space="preserve">======
ID#AAABAnWA_rw
Deleted user    (2023-12-06 20:20:17)
The student will be able to follow instructions which include selections involving prepositions.</t>
      </text>
    </comment>
    <comment authorId="0" ref="S10">
      <text>
        <t xml:space="preserve">======
ID#AAABAnWA_rs
Deleted user    (2023-12-06 20:20:09)
2 = accurately selects 3 items in specified sequence after all the items are named</t>
      </text>
    </comment>
    <comment authorId="0" ref="Q10">
      <text>
        <t xml:space="preserve">======
ID#AAABAnWA_ro
Deleted user    (2023-12-06 20:20:00)
1 = accurately selects 2 items in specified sequence after both items are named</t>
      </text>
    </comment>
    <comment authorId="0" ref="U10">
      <text>
        <t xml:space="preserve">======
ID#AAABAnWA_rk
Deleted user    (2023-12-06 20:19:49)
The student will be able to select three items in a specified sequence.</t>
      </text>
    </comment>
    <comment authorId="0" ref="T11">
      <text>
        <t xml:space="preserve">======
ID#AAABAnWA_rg
Deleted user    (2023-12-06 20:19:39)
4 = 20 two-component combinations</t>
      </text>
    </comment>
    <comment authorId="0" ref="S11">
      <text>
        <t xml:space="preserve">======
ID#AAABAnWA_rc
Deleted user    (2023-12-06 20:19:34)
3 = 10 two-component combinations</t>
      </text>
    </comment>
    <comment authorId="0" ref="R11">
      <text>
        <t xml:space="preserve">======
ID#AAABAnWA_rY
Deleted user    (2023-12-06 20:19:29)
2 = 5 two- component combinations</t>
      </text>
    </comment>
    <comment authorId="0" ref="Q11">
      <text>
        <t xml:space="preserve">======
ID#AAABAnWA_rU
Deleted user    (2023-12-06 20:19:21)
1 = 2 two-component combinations</t>
      </text>
    </comment>
    <comment authorId="0" ref="U11">
      <text>
        <t xml:space="preserve">======
ID#AAABAnWA_rQ
Deleted user    (2023-12-06 20:19:06)
Given a varied set of objects or pictures, the student will be able to select all of the items which have the two specified characteristics (e.g., adjectives, parts or other features, function, or class of the item).</t>
      </text>
    </comment>
    <comment authorId="0" ref="T12">
      <text>
        <t xml:space="preserve">======
ID#AAABAnWA_rM
Deleted user    (2023-12-06 20:18:59)
4 = selects at least 20 adjectives (including at least 3 colors, 2 shapes, and 2 sizes)</t>
      </text>
    </comment>
    <comment authorId="0" ref="S12">
      <text>
        <t xml:space="preserve">======
ID#AAABAnWA_rI
Deleted user    (2023-12-06 20:18:28)
3 = at least 10 adjectives (at least 5 of which are not colors)</t>
      </text>
    </comment>
    <comment authorId="0" ref="R12">
      <text>
        <t xml:space="preserve">======
ID#AAABAnWA_rE
Deleted user    (2023-12-06 20:18:10)
2 = at least 5 adjectives (may be all colors)</t>
      </text>
    </comment>
    <comment authorId="0" ref="Q12">
      <text>
        <t xml:space="preserve">======
ID#AAABAnWA_rA
Deleted user    (2023-12-06 20:17:56)
1 = can identify at least one adjective</t>
      </text>
    </comment>
    <comment authorId="0" ref="U12">
      <text>
        <t xml:space="preserve">======
ID#AAABAnWA_qU
Deleted user    (2023-12-06 20:17:41)
Given a set of objects or pictures which vary only on a single characteristic, the student will be able to select all of the items which have a single specified characteristic (i.e., adjectives such as "The red ones").</t>
      </text>
    </comment>
    <comment authorId="0" ref="T13">
      <text>
        <t xml:space="preserve">======
ID#AAABAnWA_qQ
Deleted user    (2023-12-06 20:16:51)
4 = 20 two-component combinations</t>
      </text>
    </comment>
    <comment authorId="0" ref="S13">
      <text>
        <t xml:space="preserve">======
ID#AAABAnWA_qM
Deleted user    (2023-12-06 20:16:45)
3 = 10 two-component combinations</t>
      </text>
    </comment>
    <comment authorId="0" ref="R13">
      <text>
        <t xml:space="preserve">======
ID#AAABAnWA_qI
Deleted user    (2023-12-06 20:16:34)
2 = 5 two-component combinations</t>
      </text>
    </comment>
    <comment authorId="0" ref="Q13">
      <text>
        <t xml:space="preserve">======
ID#AAABAnWA_qE
Deleted user    (2023-12-06 20:16:19)
1 = 2 two-component combinations</t>
      </text>
    </comment>
    <comment authorId="0" ref="U13">
      <text>
        <t xml:space="preserve">======
ID#AAABAnWA_qA
Deleted user    (2023-12-06 20:16:09)
Given a scene or a varied set of objects or pictures, the student will be able to select a specified item which has the two specified characteristics (e.g., "The big red ball," "The hot breakfast cereal").</t>
      </text>
    </comment>
    <comment authorId="0" ref="T14">
      <text>
        <t xml:space="preserve">======
ID#AAABAnWA_p8
Deleted user    (2023-12-06 20:15:43)
4 = 6 similar items from a total array of at least fifteen items</t>
      </text>
    </comment>
    <comment authorId="0" ref="S14">
      <text>
        <t xml:space="preserve">======
ID#AAABAnWA_p4
Deleted user    (2023-12-06 20:15:33)
3 = 3 items from an array of ten items</t>
      </text>
    </comment>
    <comment authorId="0" ref="R14">
      <text>
        <t xml:space="preserve">======
ID#AAABAnWA_p0
Deleted user    (2023-12-06 20:15:22)
2 = 3 items from an array of at
least six items</t>
      </text>
    </comment>
    <comment authorId="0" ref="Q14">
      <text>
        <t xml:space="preserve">======
ID#AAABAnWA_pw
Deleted user    (2023-12-06 20:15:02)
1 = at least 2 similar items from a total array of at least four items</t>
      </text>
    </comment>
    <comment authorId="0" ref="U14">
      <text>
        <t xml:space="preserve">======
ID#AAABAnWA_ps
Deleted user    (2023-12-06 20:14:52)
The student will be able to follow directions to select all the examples of a specified item (e.g., all the cats).</t>
      </text>
    </comment>
    <comment authorId="0" ref="T15">
      <text>
        <t xml:space="preserve">======
ID#AAABAnWA_po
Deleted user    (2023-12-06 20:10:18)
4 = at least 8 sounds</t>
      </text>
    </comment>
    <comment authorId="0" ref="S15">
      <text>
        <t xml:space="preserve">======
ID#AAABAnWA_pk
Deleted user    (2023-12-06 20:10:10)
3 = at least 6 sounds</t>
      </text>
    </comment>
    <comment authorId="0" ref="R15">
      <text>
        <t xml:space="preserve">======
ID#AAABAnWA_pg
Deleted user    (2023-12-06 20:10:04)
2 = at least 4 sounds</t>
      </text>
    </comment>
    <comment authorId="0" ref="Q15">
      <text>
        <t xml:space="preserve">======
ID#AAABAnWA_pc
Deleted user    (2023-12-06 20:09:59)
1 = at least 2 sounds</t>
      </text>
    </comment>
    <comment authorId="0" ref="U15">
      <text>
        <t xml:space="preserve">======
ID#AAABAnWA_pY
Deleted user    (2023-12-06 20:09:50)
The student will select appropriate pictures when the sound which is paired with that item is heard.</t>
      </text>
    </comment>
    <comment authorId="0" ref="S16">
      <text>
        <t xml:space="preserve">======
ID#AAABAnWA_pU
Deleted user    (2023-12-06 20:09:38)
2 = can find at least 3 of 4 items in a display which contains at least 10 other items</t>
      </text>
    </comment>
    <comment authorId="0" ref="Q16">
      <text>
        <t xml:space="preserve">======
ID#AAABAnWA_pQ
Deleted user    (2023-12-06 20:09:30)
1 = can find at least 2 of 4 items in a display which contains at least 5 other items</t>
      </text>
    </comment>
    <comment authorId="0" ref="U16">
      <text>
        <t xml:space="preserve">======
ID#AAABAnWA_pM
Deleted user    (2023-12-06 20:09:20)
The student will be able to locate objects when only shown parts of the objects within a larger, complex picture.</t>
      </text>
    </comment>
    <comment authorId="0" ref="S17">
      <text>
        <t xml:space="preserve">======
ID#AAABAnWA_pI
Deleted user    (2023-12-06 20:09:00)
2 = can find at least 3 of 4 items in
a display which contains at least 10 other items</t>
      </text>
    </comment>
    <comment authorId="0" ref="Q17">
      <text>
        <t xml:space="preserve">======
ID#AAABAnWA_pE
Deleted user    (2023-12-06 20:08:51)
1 = can find at least 2 of 4 items in a display which contains at least 5 other items</t>
      </text>
    </comment>
    <comment authorId="0" ref="U17">
      <text>
        <t xml:space="preserve">======
ID#AAABAnWA_pA
Deleted user    (2023-12-06 20:08:41)
The student will be able to locate pictures of objects within a larger, complex picture.</t>
      </text>
    </comment>
    <comment authorId="0" ref="T18">
      <text>
        <t xml:space="preserve">======
ID#AAABAnWA_o8
Deleted user    (2023-12-06 20:08:28)
4 = selects 4 or more community helpers</t>
      </text>
    </comment>
    <comment authorId="0" ref="S18">
      <text>
        <t xml:space="preserve">======
ID#AAABAnWA_o4
Deleted user    (2023-12-06 20:08:17)
3 = 3 community helpers</t>
      </text>
    </comment>
    <comment authorId="0" ref="R18">
      <text>
        <t xml:space="preserve">======
ID#AAABAnWA_o0
Deleted user    (2023-12-06 20:08:11)
2 = 2 community helpers</t>
      </text>
    </comment>
    <comment authorId="0" ref="Q18">
      <text>
        <t xml:space="preserve">======
ID#AAABAnV_9Zo
Deleted user    (2023-12-06 20:08:03)
1 = 1 community helper</t>
      </text>
    </comment>
    <comment authorId="0" ref="U18">
      <text>
        <t xml:space="preserve">======
ID#AAABAnV_9Zk
Deleted user    (2023-12-06 20:07:55)
The student will be able to select pictures of common community helpers in his environment.</t>
      </text>
    </comment>
    <comment authorId="0" ref="S19">
      <text>
        <t xml:space="preserve">======
ID#AAABAnV_9Zg
Deleted user    (2023-12-06 20:07:37)
2 = can select 2 specified items in order when given a display of 10 or more pictures</t>
      </text>
    </comment>
    <comment authorId="0" ref="Q19">
      <text>
        <t xml:space="preserve">======
ID#AAABAnV_9Zc
Deleted user    (2023-12-06 20:07:29)
1 = can select 2 specified items in order when given a display of at least 4 pictures</t>
      </text>
    </comment>
    <comment authorId="0" ref="U19">
      <text>
        <t xml:space="preserve">======
ID#AAABAnV_9ZY
Deleted user    (2023-12-06 20:07:20)
Upon request, the student will
select two specified objects or  pictures, in the order requested, from a larger selection of pictures on a table in front of the student.</t>
      </text>
    </comment>
    <comment authorId="0" ref="S20">
      <text>
        <t xml:space="preserve">======
ID#AAABAnV_9ZU
Deleted user    (2023-12-06 20:07:05)
2 = can select 2 specified objects or pictures when given a display of 10 or more items</t>
      </text>
    </comment>
    <comment authorId="0" ref="Q20">
      <text>
        <t xml:space="preserve">======
ID#AAABAnV_9ZQ
Deleted user    (2023-12-06 20:06:55)
1 = can select 2 specified objects or pictures when given a display of at least 4 items</t>
      </text>
    </comment>
    <comment authorId="0" ref="U20">
      <text>
        <t xml:space="preserve">======
ID#AAABAnV_9ZM
Deleted user    (2023-12-06 20:06:45)
Upon request, the student will select two specified objects or
pictures from a larger selection of objects on a table in front of the student.</t>
      </text>
    </comment>
    <comment authorId="0" ref="T21">
      <text>
        <t xml:space="preserve">======
ID#AAABAnV_9ZI
Deleted user    (2023-12-06 20:01:48)
4 = can select at least 5 items from 4 classes and can select 2 or more items of a specified class from a display of at least 6 items</t>
      </text>
    </comment>
    <comment authorId="0" ref="S21">
      <text>
        <t xml:space="preserve">======
ID#AAABAnV_9ZE
Deleted user    (2023-12-06 20:01:34)
3 = at least 5 items from 4 classes</t>
      </text>
    </comment>
    <comment authorId="0" ref="R21">
      <text>
        <t xml:space="preserve">======
ID#AAABAnV_9ZA
Deleted user    (2023-12-06 20:01:26)
2 = at least 5 items from 2 classes</t>
      </text>
    </comment>
    <comment authorId="0" ref="Q21">
      <text>
        <t xml:space="preserve">======
ID#AAABAnV_9Y8
Deleted user    (2023-12-06 20:01:18)
1 = at least 5 items from 1 class</t>
      </text>
    </comment>
    <comment authorId="0" ref="U21">
      <text>
        <t xml:space="preserve">======
ID#AAABAnV_9Y4
Deleted user    (2023-12-06 20:01:09)
Student will be able to select objects or pictures of items when told the class to which the item belongs.</t>
      </text>
    </comment>
    <comment authorId="0" ref="T22">
      <text>
        <t xml:space="preserve">======
ID#AAABAnV_9Y0
Deleted user    (2023-12-06 20:01:02)
4 = can select at least 2 features
or parts for 25 items and can select 2 or more items with a specified feature/part from a display of at least 6 items</t>
      </text>
    </comment>
    <comment authorId="0" ref="S22">
      <text>
        <t xml:space="preserve">======
ID#AAABAnV_9Yw
Deleted user    (2023-12-06 20:00:42)
3 = at least 2 features or parts for 25 items</t>
      </text>
    </comment>
    <comment authorId="0" ref="R22">
      <text>
        <t xml:space="preserve">======
ID#AAABAnV_9Ys
Deleted user    (2023-12-06 20:00:32)
2 = at least 1 feature or part for 5 items</t>
      </text>
    </comment>
    <comment authorId="0" ref="Q22">
      <text>
        <t xml:space="preserve">======
ID#AAABAnV_9Yo
Deleted user    (2023-12-06 20:00:21)
1 = at least 1 feature or part for 2 items</t>
      </text>
    </comment>
    <comment authorId="0" ref="U22">
      <text>
        <t xml:space="preserve">======
ID#AAABAnV_9Yk
Deleted user    (2023-12-06 20:00:10)
Student will be able to select objects or pictures of items when told the item's features or parts.</t>
      </text>
    </comment>
    <comment authorId="0" ref="T23">
      <text>
        <t xml:space="preserve">======
ID#AAABAnV_9Yg
Deleted user    (2023-12-06 19:59:55)
4 = can select at least 25 items
when told the item's function and
can select 2 or more items with a specified function from a display of at least 6 items</t>
      </text>
    </comment>
    <comment authorId="0" ref="S23">
      <text>
        <t xml:space="preserve">======
ID#AAABAnV_9Yc
Deleted user    (2023-12-06 19:59:38)
3 = at least 25 items</t>
      </text>
    </comment>
    <comment authorId="0" ref="R23">
      <text>
        <t xml:space="preserve">======
ID#AAABAnV_9YY
Deleted user    (2023-12-06 19:59:30)
2 = at least 5</t>
      </text>
    </comment>
    <comment authorId="0" ref="Q23">
      <text>
        <t xml:space="preserve">======
ID#AAABAnV_9YU
Deleted user    (2023-12-06 19:59:20)
1 = at least 2 items</t>
      </text>
    </comment>
    <comment authorId="0" ref="U23">
      <text>
        <t xml:space="preserve">======
ID#AAABAnV_9YQ
Deleted user    (2023-12-06 19:59:09)
Student will be able to select objects or pictures of items when told the item's function.</t>
      </text>
    </comment>
    <comment authorId="0" ref="T24">
      <text>
        <t xml:space="preserve">======
ID#AAABAnV_9YM
Deleted user    (2023-12-06 19:59:02)
4 = can select at least 2 related pictures for 20 or more items</t>
      </text>
    </comment>
    <comment authorId="0" ref="S24">
      <text>
        <t xml:space="preserve">======
ID#AAABAnV_9YI
Deleted user    (2023-12-06 19:58:32)
3 = 2 related pictures for 10 items</t>
      </text>
    </comment>
    <comment authorId="0" ref="R24">
      <text>
        <t xml:space="preserve">======
ID#AAABAnV_9YE
Deleted user    (2023-12-06 19:58:25)
2 = 1 related picture for 10 items</t>
      </text>
    </comment>
    <comment authorId="0" ref="Q24">
      <text>
        <t xml:space="preserve">======
ID#AAABAnV_9YA
Deleted user    (2023-12-06 19:58:18)
1 = can select at least 1 related picture for 5 items</t>
      </text>
    </comment>
    <comment authorId="0" ref="U24">
      <text>
        <t xml:space="preserve">======
ID#AAABAnV_9X8
Deleted user    (2023-12-06 19:58:07)
Given an array of items or pictures and asked, "What goes with this?," the student will be able to select the item which is used with the item being shown (e.g., select a bat when shown a picture of a ball).</t>
      </text>
    </comment>
    <comment authorId="0" ref="T25">
      <text>
        <t xml:space="preserve">======
ID#AAABAnV_9X4
Deleted user    (2023-12-06 19:57:45)
4 = selects 20 or more action pictures and can identify several different examples (including novel examples) of most of those actions</t>
      </text>
    </comment>
    <comment authorId="0" ref="S25">
      <text>
        <t xml:space="preserve">======
ID#AAABAnV_9X0
Deleted user    (2023-12-06 19:57:25)
3 = 10 actions</t>
      </text>
    </comment>
    <comment authorId="0" ref="R25">
      <text>
        <t xml:space="preserve">======
ID#AAABAnV_9Xw
Deleted user    (2023-12-06 19:57:20)
2 = 5 actions</t>
      </text>
    </comment>
    <comment authorId="0" ref="Q25">
      <text>
        <t xml:space="preserve">======
ID#AAABAnV_9Xs
Deleted user    (2023-12-06 19:57:15)
1 = 2 action pictures</t>
      </text>
    </comment>
    <comment authorId="0" ref="U25">
      <text>
        <t xml:space="preserve">======
ID#AAABAnVR280
Deleted user    (2023-12-06 19:57:07)
Upon the request, the student will select a specified action picture from an array of three pictures on a table in any position in front of the student.</t>
      </text>
    </comment>
    <comment authorId="0" ref="S26">
      <text>
        <t xml:space="preserve">======
ID#AAABAnVR28w
Deleted user    (2023-12-06 19:56:00)
2 = at least 5 without prompts</t>
      </text>
    </comment>
    <comment authorId="0" ref="Q26">
      <text>
        <t xml:space="preserve">======
ID#AAABAnVR28s
Deleted user    (2023-12-06 19:55:50)
1 = at least 2 with only verbal or pointing prompts</t>
      </text>
    </comment>
    <comment authorId="0" ref="U26">
      <text>
        <t xml:space="preserve">======
ID#AAABAnVR28o
Deleted user    (2023-12-06 19:55:39)
The student will comply with instructions to do a pretend activity.</t>
      </text>
    </comment>
    <comment authorId="0" ref="T27">
      <text>
        <t xml:space="preserve">======
ID#AAABAnVR28k
Deleted user    (2023-12-06 19:55:33)
4 = can perform at least 4 actions on at least 4 objects</t>
      </text>
    </comment>
    <comment authorId="0" ref="S27">
      <text>
        <t xml:space="preserve">======
ID#AAABAnVR28g
Deleted user    (2023-12-06 19:55:25)
3 = can perform at least 3 actions on 4 objects</t>
      </text>
    </comment>
    <comment authorId="0" ref="R27">
      <text>
        <t xml:space="preserve">======
ID#AAABAnVR28c
Deleted user    (2023-12-06 19:55:11)
2 = can perform at least 2 actions on 4 objects</t>
      </text>
    </comment>
    <comment authorId="0" ref="Q27">
      <text>
        <t xml:space="preserve">======
ID#AAABAnVR28Y
Deleted user    (2023-12-06 19:55:04)
1 = can perform 2 actions on at least 2 objects</t>
      </text>
    </comment>
    <comment authorId="0" ref="U27">
      <text>
        <t xml:space="preserve">======
ID#AAABAnVR28U
Deleted user    (2023-12-06 19:54:53)
The student will be able to perform a specified action with a specific object, when several different objects are present that could be used to demonstrate the requested action.</t>
      </text>
    </comment>
    <comment authorId="0" ref="S28">
      <text>
        <t xml:space="preserve">======
ID#AAABAnVR28Q
Deleted user    (2023-12-06 19:54:44)
2 = at least 5 without prompts</t>
      </text>
    </comment>
    <comment authorId="0" ref="Q28">
      <text>
        <t xml:space="preserve">======
ID#AAABAnVR28M
Deleted user    (2023-12-06 19:54:36)
1 = at least 2 with only verbal or pointing prompts</t>
      </text>
    </comment>
    <comment authorId="0" ref="U28">
      <text>
        <t xml:space="preserve">======
ID#AAABAnVR28I
Deleted user    (2023-12-06 19:54:28)
The student will comply with instructions to do a simple action when presented with several objects, one of which is used to perform the action.</t>
      </text>
    </comment>
    <comment authorId="0" ref="T29">
      <text>
        <t xml:space="preserve">======
ID#AAABAnVR28E
Deleted user    (2023-12-06 19:54:20)
4 = responds correctly to any of 5 different selection responses</t>
      </text>
    </comment>
    <comment authorId="0" ref="S29">
      <text>
        <t xml:space="preserve">======
ID#AAABAnVR28A
Deleted user    (2023-12-06 19:54:03)
3 = four different selection responses</t>
      </text>
    </comment>
    <comment authorId="0" ref="R29">
      <text>
        <t xml:space="preserve">======
ID#AAABAnVR278
Deleted user    (2023-12-06 19:53:47)
2 = three different selection responses</t>
      </text>
    </comment>
    <comment authorId="0" ref="Q29">
      <text>
        <t xml:space="preserve">======
ID#AAABAnVR274
Deleted user    (2023-12-06 19:53:39)
1 = two different selection responses</t>
      </text>
    </comment>
    <comment authorId="0" ref="U29">
      <text>
        <t xml:space="preserve">======
ID#AAABAnVR270
Deleted user    (2023-12-06 19:53:25)
The student will select common objects and pictures with a specific motor response when given a variety of instructions specifying the response required to select those items (e.g., "Touch," "Point to," "Give me," "Pick up," "Get the").</t>
      </text>
    </comment>
    <comment authorId="0" ref="T30">
      <text>
        <t xml:space="preserve">======
ID#AAABAnVR27w
Deleted user    (2023-12-06 19:52:59)
4 = can go to at least three people and perform at least 2 actions</t>
      </text>
    </comment>
    <comment authorId="0" ref="S30">
      <text>
        <t xml:space="preserve">======
ID#AAABAnVR27s
Deleted user    (2023-12-06 19:52:46)
3 = 2 people and 2 actions</t>
      </text>
    </comment>
    <comment authorId="0" ref="R30">
      <text>
        <t xml:space="preserve">======
ID#AAABAnVR27o
Deleted user    (2023-12-06 19:52:39)
2 = 2 people and 1 action</t>
      </text>
    </comment>
    <comment authorId="0" ref="Q30">
      <text>
        <t xml:space="preserve">======
ID#AAABAnVR27k
Deleted user    (2023-12-06 19:52:31)
1 = 1 person and 1 action</t>
      </text>
    </comment>
    <comment authorId="0" ref="U30">
      <text>
        <t xml:space="preserve">======
ID#AAABAnVR27g
Deleted user    (2023-12-06 19:52:18)
Student will be able to walk across the room to go to a specified person and perform a stated action (e.g., give Jim a hug).</t>
      </text>
    </comment>
    <comment authorId="0" ref="T31">
      <text>
        <t xml:space="preserve">======
ID#AAABAnVR27c
Deleted user    (2023-12-06 19:50:40)
4 = can go to at least 2 people and
2 places and get a specified item</t>
      </text>
    </comment>
    <comment authorId="0" ref="S31">
      <text>
        <t xml:space="preserve">======
ID#AAABAnVR27Y
Deleted user    (2023-12-06 19:50:28)
3 = 2 people or places without prompts</t>
      </text>
    </comment>
    <comment authorId="0" ref="R31">
      <text>
        <t xml:space="preserve">======
ID#AAABAnVR27U
Deleted user    (2023-12-06 19:50:20)
2 = 2 people or places with only a single verbal prompt</t>
      </text>
    </comment>
    <comment authorId="0" ref="Q31">
      <text>
        <t xml:space="preserve">======
ID#AAABAnVR27Q
Deleted user    (2023-12-06 19:50:12)
1 = 1 person or place with only a verbal prompt</t>
      </text>
    </comment>
    <comment authorId="0" ref="U31">
      <text>
        <t xml:space="preserve">======
ID#AAABAnVR27M
Deleted user    (2023-12-06 19:49:56)
Student will be able to walk across the room to go to a specified place or person and get a requested item.</t>
      </text>
    </comment>
    <comment authorId="0" ref="T32">
      <text>
        <t xml:space="preserve">======
ID#AAABAnVR27I
Deleted user    (2023-12-06 19:49:36)
4 = can go to at least 2 people and
2 places and deliver/place a given item</t>
      </text>
    </comment>
    <comment authorId="0" ref="S32">
      <text>
        <t xml:space="preserve">======
ID#AAABAnVR27E
Deleted user    (2023-12-06 19:49:24)
3 = 2 people or places without prompts</t>
      </text>
    </comment>
    <comment authorId="0" ref="R32">
      <text>
        <t xml:space="preserve">======
ID#AAABAnVR27A
Deleted user    (2023-12-06 19:49:15)
2 = 2 people or places with only a single verbal prompt</t>
      </text>
    </comment>
    <comment authorId="0" ref="Q32">
      <text>
        <t xml:space="preserve">======
ID#AAABAnVR268
Deleted user    (2023-12-06 19:48:55)
1 = 1 person or place with only a verbal prompt</t>
      </text>
    </comment>
    <comment authorId="0" ref="U32">
      <text>
        <t xml:space="preserve">======
ID#AAABAnVR264
Deleted user    (2023-12-06 19:48:45)
Student will be able to walk across the room to go to a specified place or person and place or deliver an item (e.g., give pen to Jim).</t>
      </text>
    </comment>
    <comment authorId="0" ref="S33">
      <text>
        <t xml:space="preserve">======
ID#AAABAnVR260
Deleted user    (2023-12-06 19:48:27)
2 = can go to at least four people upon request</t>
      </text>
    </comment>
    <comment authorId="0" ref="Q33">
      <text>
        <t xml:space="preserve">======
ID#AAABAnVR26w
Deleted user    (2023-12-06 19:48:19)
1 = can go to at least two people upon request</t>
      </text>
    </comment>
    <comment authorId="0" ref="U33">
      <text>
        <t xml:space="preserve">======
ID#AAABAnVR26s
Deleted user    (2023-12-06 19:48:12)
Student will be able to walk across the room to go to a specified person.</t>
      </text>
    </comment>
    <comment authorId="0" ref="T34">
      <text>
        <t xml:space="preserve">======
ID#AAABAnVR26o
Deleted user    (2023-12-06 19:47:58)
4 = can respond correctly to all 5 types of hand signals</t>
      </text>
    </comment>
    <comment authorId="0" ref="S34">
      <text>
        <t xml:space="preserve">======
ID#AAABAnVR26k
Deleted user    (2023-12-06 19:47:40)
3 = can respond correctly to at least 4 types of hand signals</t>
      </text>
    </comment>
    <comment authorId="0" ref="R34">
      <text>
        <t xml:space="preserve">======
ID#AAABAnVR26g
Deleted user    (2023-12-06 19:47:31)
2 = can respond correctly to at least 3 types of hand signals</t>
      </text>
    </comment>
    <comment authorId="0" ref="Q34">
      <text>
        <t xml:space="preserve">======
ID#AAABAnVRYEo
Deleted user    (2023-12-06 19:47:14)
1 = can respond to at least 2 types of hand signals</t>
      </text>
    </comment>
    <comment authorId="0" ref="U34">
      <text>
        <t xml:space="preserve">======
ID#AAABAnVRYEk
Deleted user    (2023-12-06 19:47:01)
The student will be able to follow hand signals from an adult to come, sit, stand, go to a location, and perform an action when signaled (e.g., stand up or clap hands when point to the child).</t>
      </text>
    </comment>
    <comment authorId="0" ref="S35">
      <text>
        <t xml:space="preserve">======
ID#AAABAnVRYEg
Deleted user    (2023-12-06 19:46:47)
2 = can select one of three separated items located on a table</t>
      </text>
    </comment>
    <comment authorId="0" ref="Q35">
      <text>
        <t xml:space="preserve">======
ID#AAABAnVRYEc
Deleted user    (2023-12-06 19:46:33)
1 = can select one of two separated items located on a table</t>
      </text>
    </comment>
    <comment authorId="0" ref="U35">
      <text>
        <t xml:space="preserve">======
ID#AAABAnVRYEY
Deleted user    (2023-12-06 19:46:18)
The student will be able to select an item by attending to the eye orientation of another person.</t>
      </text>
    </comment>
    <comment authorId="0" ref="T36">
      <text>
        <t xml:space="preserve">======
ID#AAABAnVRYEU
Deleted user    (2023-12-06 19:45:58)
4 = selects at least 20 adjectives (including at least 3 colors, 2 shapes and 2 sizes)</t>
      </text>
    </comment>
    <comment authorId="0" ref="S36">
      <text>
        <t xml:space="preserve">======
ID#AAABAnVRYEQ
Deleted user    (2023-12-06 19:45:34)
3 = at least 10 adjectives (at least 5 of which are not colors)</t>
      </text>
    </comment>
    <comment authorId="0" ref="R36">
      <text>
        <t xml:space="preserve">======
ID#AAABAnVRYEM
Deleted user    (2023-12-06 19:45:20)
2 = at least 5 adjectives (may be all colors)</t>
      </text>
    </comment>
    <comment authorId="0" ref="Q36">
      <text>
        <t xml:space="preserve">======
ID#AAABAnVRYEI
Deleted user    (2023-12-06 19:45:12)
1 = can identify at least one adjective</t>
      </text>
    </comment>
    <comment authorId="0" ref="U36">
      <text>
        <t xml:space="preserve">======
ID#AAABAnVRYEE
Deleted user    (2023-12-06 19:44:59)
The student will be able to select between two similar items that vary on one dimension (i.e., adjectives).</t>
      </text>
    </comment>
    <comment authorId="0" ref="T37">
      <text>
        <t xml:space="preserve">======
ID#AAABAnVRYEA
Deleted user    (2023-12-06 19:44:46)
4 = 3 or more parts of ten objects</t>
      </text>
    </comment>
    <comment authorId="0" ref="S37">
      <text>
        <t xml:space="preserve">======
ID#AAABAnVRYD8
Deleted user    (2023-12-06 19:44:36)
3 = 3 parts of six objects</t>
      </text>
    </comment>
    <comment authorId="0" ref="R37">
      <text>
        <t xml:space="preserve">======
ID#AAABAnVRYD4
Deleted user    (2023-12-06 19:44:27)
2 = 2 pars of four objects</t>
      </text>
    </comment>
    <comment authorId="0" ref="Q37">
      <text>
        <t xml:space="preserve">======
ID#AAABAnVRYD0
Deleted user    (2023-12-06 19:44:14)
1 = at least 2 parts of two objects</t>
      </text>
    </comment>
    <comment authorId="0" ref="U37">
      <text>
        <t xml:space="preserve">======
ID#AAABAnVRYDw
Deleted user    (2023-12-06 19:43:37)
The student will be able to follow directions to touch specified parts of items (e.g., door and window of a house, wheel and door of a car).</t>
      </text>
    </comment>
    <comment authorId="0" ref="S38">
      <text>
        <t xml:space="preserve">======
ID#AAABAnVRYDs
Deleted user    (2023-12-06 19:42:44)
2 = 4 or more items</t>
      </text>
    </comment>
    <comment authorId="0" ref="Q38">
      <text>
        <t xml:space="preserve">======
ID#AAABAnVRYDo
Deleted user    (2023-12-06 19:42:39)
1 = 2 items</t>
      </text>
    </comment>
    <comment authorId="0" ref="U38">
      <text>
        <t xml:space="preserve">======
ID#AAABAnVRYDk
Deleted user    (2023-12-06 19:42:34)
The student will be able to follow directions to touch clothing items on his own body.</t>
      </text>
    </comment>
    <comment authorId="0" ref="T39">
      <text>
        <t xml:space="preserve">======
ID#AAABAnVRYDg
Deleted user    (2023-12-06 19:42:27)
4 = 10 or more parts</t>
      </text>
    </comment>
    <comment authorId="0" ref="S39">
      <text>
        <t xml:space="preserve">======
ID#AAABAnVRYDc
Deleted user    (2023-12-06 19:42:22)
3 = 6 parts</t>
      </text>
    </comment>
    <comment authorId="0" ref="R39">
      <text>
        <t xml:space="preserve">======
ID#AAABAnVRYDY
Deleted user    (2023-12-06 19:42:16)
2 = 4 parts</t>
      </text>
    </comment>
    <comment authorId="0" ref="Q39">
      <text>
        <t xml:space="preserve">======
ID#AAABAnVRYDU
Deleted user    (2023-12-06 19:42:10)
1 = 2 parts</t>
      </text>
    </comment>
    <comment authorId="0" ref="U39">
      <text>
        <t xml:space="preserve">======
ID#AAABAnVRYDQ
Deleted user    (2023-12-06 19:42:04)
The student will be able to follow directions to point to body parts of other people or touch pictures of body parts.</t>
      </text>
    </comment>
    <comment authorId="0" ref="S40">
      <text>
        <t xml:space="preserve">======
ID#AAABAnVRYDM
Deleted user    (2023-12-06 19:41:51)
2 = selects objects and pictures
when given any of 5 instructions to select a specified item (any selection response is acceptable)</t>
      </text>
    </comment>
    <comment authorId="0" ref="Q40">
      <text>
        <t xml:space="preserve">======
ID#AAABAnVRYDI
Deleted user    (2023-12-06 19:41:37)
1 = selects objects and pictures when given any 2 instructions to select a specified item (can use any response)</t>
      </text>
    </comment>
    <comment authorId="0" ref="U40">
      <text>
        <t xml:space="preserve">======
ID#AAABAnVRYDE
Deleted user    (2023-12-06 19:41:22)
The student will be able to select objects and pictures named by the instructor while using a variety of instructions to select those items (e.g."Show me _." "Where is the _." "Can you find the _." "Touch the _.").</t>
      </text>
    </comment>
    <comment authorId="0" ref="S41">
      <text>
        <t xml:space="preserve">======
ID#AAABAnVRYDA
Deleted user    (2023-12-06 19:40:35)
2 = can sequentially point to or select at least 10 known items in 30 seconds</t>
      </text>
    </comment>
    <comment authorId="0" ref="Q41">
      <text>
        <t xml:space="preserve">======
ID#AAABAnTaA64
Deleted user    (2023-12-06 19:40:24)
1 = can point to or select 5 separate known items in 15 seconds</t>
      </text>
    </comment>
    <comment authorId="0" ref="U41">
      <text>
        <t xml:space="preserve">======
ID#AAABAnTaA60
Deleted user    (2023-12-06 19:40:12)
The student will be able to point to or select known items from an array upon request when presented in quick succession.</t>
      </text>
    </comment>
    <comment authorId="0" ref="S42">
      <text>
        <t xml:space="preserve">======
ID#AAABAnTaA6w
Deleted user    (2023-12-06 19:40:03)
2 = readily learns to select many new items after being required to select the items less than 5 times</t>
      </text>
    </comment>
    <comment authorId="0" ref="Q42">
      <text>
        <t xml:space="preserve">======
ID#AAABAnTaA6s
Deleted user    (2023-12-06 19:39:53)
1 = selects many new items after being required to select the items less than 10 times</t>
      </text>
    </comment>
    <comment authorId="0" ref="U42">
      <text>
        <t xml:space="preserve">======
ID#AAABAnTaA6o
Deleted user    (2023-12-06 19:39:41)
The student will be able to acquire selection skills for many new common objects or pictures of items after being required to select the items less than five times.</t>
      </text>
    </comment>
    <comment authorId="0" ref="T43">
      <text>
        <t xml:space="preserve">======
ID#AAABAnTaA6k
Deleted user    (2023-12-06 19:39:25)
4 = receptively identifies 100 or more pictures and can identify several different examples (including novel examples) of most of those pictures when presented in an array of six or more pictures</t>
      </text>
    </comment>
    <comment authorId="0" ref="S43">
      <text>
        <t xml:space="preserve">======
ID#AAABAnTaA6g
Deleted user    (2023-12-06 19:39:11)
3 = 50 pictures of at least one example of the item when presented in an array of three or more pictures</t>
      </text>
    </comment>
    <comment authorId="0" ref="R43">
      <text>
        <t xml:space="preserve">======
ID#AAABAnTaA6c
Deleted user    (2023-12-06 19:38:59)
2 = 10 pictures (array of 3)</t>
      </text>
    </comment>
    <comment authorId="0" ref="Q43">
      <text>
        <t xml:space="preserve">======
ID#AAABAnTaA6Y
Deleted user    (2023-12-06 19:38:49)
1 = 5 pictures when presented in an array of three or more pictures</t>
      </text>
    </comment>
    <comment authorId="0" ref="U43">
      <text>
        <t xml:space="preserve">======
ID#AAABAnTaA6U
Deleted user    (2023-12-06 19:38:38)
The student will select a
specified picture for at least 100 common objects when the picture is presented in an array of six or more pictures on a table in any position in front of the student.</t>
      </text>
    </comment>
    <comment authorId="0" ref="T44">
      <text>
        <t xml:space="preserve">======
ID#AAABAnTaA6M
Deleted user    (2023-12-06 19:35:12)
4 = receptively identifies 100 or more objects and can identify several different examples (including novel examples) of most of those objects when presented in an array of six or more objects</t>
      </text>
    </comment>
    <comment authorId="0" ref="S44">
      <text>
        <t xml:space="preserve">======
ID#AAABAnTaA6I
Deleted user    (2023-12-06 19:34:58)
3 = 50 objects of at least one example of the item when presented in an array of three objects</t>
      </text>
    </comment>
    <comment authorId="0" ref="R44">
      <text>
        <t xml:space="preserve">======
ID#AAABAnTaA6E
Deleted user    (2023-12-06 19:34:45)
2 = 10 objects (array of 3)</t>
      </text>
    </comment>
    <comment authorId="0" ref="Q44">
      <text>
        <t xml:space="preserve">======
ID#AAABAnTaA6A
Deleted user    (2023-12-06 19:34:35)
1 = 5 objects when presented in an array of three objects</t>
      </text>
    </comment>
    <comment authorId="0" ref="U44">
      <text>
        <t xml:space="preserve">======
ID#AAABAnTaA58
Deleted user    (2023-12-06 19:34:12)
The student will select a specified object for at least 100 common objects when the object is presented in an array of six or more objects on a table in any position in front of the student.</t>
      </text>
    </comment>
    <comment authorId="0" ref="T45">
      <text>
        <t xml:space="preserve">======
ID#AAABAnTaA54
Deleted user    (2023-12-06 19:33:52)
4 = 10 or more parts</t>
      </text>
    </comment>
    <comment authorId="0" ref="S45">
      <text>
        <t xml:space="preserve">======
ID#AAABAnTaA50
Deleted user    (2023-12-06 19:33:47)
3 = 6 parts</t>
      </text>
    </comment>
    <comment authorId="0" ref="R45">
      <text>
        <t xml:space="preserve">======
ID#AAABAnTaA5w
Deleted user    (2023-12-06 19:33:43)
2 = 4 parts</t>
      </text>
    </comment>
    <comment authorId="0" ref="Q45">
      <text>
        <t xml:space="preserve">======
ID#AAABAnTaA5s
Deleted user    (2023-12-06 19:33:36)
1 = 2 parts</t>
      </text>
    </comment>
    <comment authorId="0" ref="U45">
      <text>
        <t xml:space="preserve">======
ID#AAABAnTaA5o
Deleted user    (2023-12-06 19:33:30)
The student will be able to
follow directions to touch parts  of his own body.</t>
      </text>
    </comment>
    <comment authorId="0" ref="T46">
      <text>
        <t xml:space="preserve">======
ID#AAABAnTaA5k
Deleted user    (2023-12-06 19:33:10)
4 = receptively identifies pictures of 50 or more items and can identify several different pictures of most of those items</t>
      </text>
    </comment>
    <comment authorId="0" ref="S46">
      <text>
        <t xml:space="preserve">======
ID#AAABAnTaA5g
Deleted user    (2023-12-06 19:32:58)
3 = 25 pictures of different items</t>
      </text>
    </comment>
    <comment authorId="0" ref="R46">
      <text>
        <t xml:space="preserve">======
ID#AAABAnTaA5c
Deleted user    (2023-12-06 19:32:45)
2 = 10 pictures</t>
      </text>
    </comment>
    <comment authorId="0" ref="Q46">
      <text>
        <t xml:space="preserve">======
ID#AAABAnTaA5Y
Deleted user    (2023-12-06 19:32:37)
1 = 2 pictures</t>
      </text>
    </comment>
    <comment authorId="0" ref="U46">
      <text>
        <t xml:space="preserve">======
ID#AAABAnTaA5U
Deleted user    (2023-12-06 19:32:22)
Upon request, student will select a picture named by the instructor from an array of two pictures of common items held or placed in any position in front of him.</t>
      </text>
    </comment>
    <comment authorId="0" ref="T47">
      <text>
        <t xml:space="preserve">======
ID#AAABAnTaA5Q
Deleted user    (2023-12-06 19:32:12)
4 = receptively identifies 50 or more objects and can identify several different examples of most of those objects</t>
      </text>
    </comment>
    <comment authorId="0" ref="S47">
      <text>
        <t xml:space="preserve">======
ID#AAABAnTaA5M
Deleted user    (2023-12-06 19:31:52)
3 = identifies at least one example of 25 objects</t>
      </text>
    </comment>
    <comment authorId="0" ref="R47">
      <text>
        <t xml:space="preserve">======
ID#AAABAnTSWEk
Deleted user    (2023-12-06 19:31:41)
2 = 10 objects</t>
      </text>
    </comment>
    <comment authorId="0" ref="Q47">
      <text>
        <t xml:space="preserve">======
ID#AAABAnTSWEg
Deleted user    (2023-12-06 19:31:31)
1 = identifies at least 2 objects</t>
      </text>
    </comment>
    <comment authorId="0" ref="U47">
      <text>
        <t xml:space="preserve">======
ID#AAABAnTSWEc
Deleted user    (2023-12-06 19:31:23)
Upon request, the student will be able to select an object named by the instructor from an array of two common objects held or placed in any position in front of him.</t>
      </text>
    </comment>
    <comment authorId="0" ref="S48">
      <text>
        <t xml:space="preserve">======
ID#AAABAnTSWEY
Deleted user    (2023-12-06 19:31:12)
2 = readily finds and selects it in any position within 3 seconds</t>
      </text>
    </comment>
    <comment authorId="0" ref="Q48">
      <text>
        <t xml:space="preserve">======
ID#AAABAnTSWEU
Deleted user    (2023-12-06 19:31:03)
1 = finds and selects item if it is held in front of him</t>
      </text>
    </comment>
    <comment authorId="0" ref="U48">
      <text>
        <t xml:space="preserve">======
ID#AAABAnTSWEQ
Deleted user    (2023-12-06 19:30:50)
Upon request, the student will be able to select an object named by the instructor from an array of two reinforcing objects held or placed in any position in front of him.</t>
      </text>
    </comment>
    <comment authorId="0" ref="S49">
      <text>
        <t xml:space="preserve">======
ID#AAABAnTSWEM
Deleted user    (2023-12-06 19:28:10)
2 = readily finds and selects it in any position within 3 seconds</t>
      </text>
    </comment>
    <comment authorId="0" ref="Q49">
      <text>
        <t xml:space="preserve">======
ID#AAABAnTSWEI
Deleted user    (2023-12-06 19:27:57)
1 = finds and selects item if it is held in front of him</t>
      </text>
    </comment>
    <comment authorId="0" ref="U49">
      <text>
        <t xml:space="preserve">======
ID#AAABAnTSWEE
Deleted user    (2023-12-06 19:27:49)
When asked, the student will select a named reinforcing item from an array of two objects held or placed in any of position in front of him.</t>
      </text>
    </comment>
    <comment authorId="0" ref="S50">
      <text>
        <t xml:space="preserve">======
ID#AAABAnTSWEA
Deleted user    (2023-12-06 19:27:25)
2 = readily finds and touches it in any position within 3 seconds</t>
      </text>
    </comment>
    <comment authorId="0" ref="Q50">
      <text>
        <t xml:space="preserve">======
ID#AAABAnTSWD8
Deleted user    (2023-12-06 19:27:14)
1 = touches an item if it is held in front of him</t>
      </text>
    </comment>
    <comment authorId="0" ref="U50">
      <text>
        <t xml:space="preserve">======
ID#AAABAnTSWD4
Deleted user    (2023-12-06 19:26:59)
When asked to touch an object that is being held and an empty hand is held out as a distracter (or the object is placed on a table with another neutral item such a styrofoam cube used as a distracter), the student will touch the named object.</t>
      </text>
    </comment>
    <comment authorId="0" ref="T51">
      <text>
        <t xml:space="preserve">======
ID#AAABAnTSWDk
Deleted user    (2023-12-06 19:25:45)
4 = at least 6 instructions without prompts and can follow at least 4 different actions within 10 seconds</t>
      </text>
    </comment>
    <comment authorId="0" ref="S51">
      <text>
        <t xml:space="preserve">======
ID#AAABAnTSWDg
Deleted user    (2023-12-06 19:25:19)
3 = at least 6 instructions without prompts</t>
      </text>
    </comment>
    <comment authorId="0" ref="R51">
      <text>
        <t xml:space="preserve">======
ID#AAABAnTSWDc
Deleted user    (2023-12-06 19:25:06)
2 = at least 4 instructions without prompts</t>
      </text>
    </comment>
    <comment authorId="0" ref="Q51">
      <text>
        <t xml:space="preserve">======
ID#AAABAnTSWDY
Deleted user    (2023-12-06 19:24:54)
1 = at least 2 instructions without prompts</t>
      </text>
    </comment>
    <comment authorId="0" ref="U51">
      <text>
        <t xml:space="preserve">======
ID#AAABAnTSWDU
Deleted user    (2023-12-06 19:24:47)
The student will comply with instructions to do a simple motor task (e.g., clap, turn around, arms up).</t>
      </text>
    </comment>
    <comment authorId="0" ref="S52">
      <text>
        <t xml:space="preserve">======
ID#AAABAnSFf3c
Deleted user    (2023-12-06 19:24:35)
2 = usually within 3 seconds</t>
      </text>
    </comment>
    <comment authorId="0" ref="Q52">
      <text>
        <t xml:space="preserve">======
ID#AAABAnSFf3Y
Deleted user    (2023-12-06 19:24:21)
1 = usually with one additional prompt (not including holding out hand to receive the item)</t>
      </text>
    </comment>
    <comment authorId="0" ref="U52">
      <text>
        <t xml:space="preserve">======
ID#AAABAnSFf3U
Deleted user    (2023-12-06 19:23:54)
The student will follow instructions which require him to give a named, non-reinforcing item.</t>
      </text>
    </comment>
    <comment authorId="0" ref="Z119">
      <text>
        <t xml:space="preserve">======
ID#AAABAnSFf24
Ester Casarez    (2023-12-06 18:53:07)
4= 1:4 group for 15 min.</t>
      </text>
    </comment>
    <comment authorId="0" ref="Y119">
      <text>
        <t xml:space="preserve">======
ID#AAABAnSFf2w
Ester Casarez    (2023-12-06 18:52:54)
3= 1:3 group for 10 min.</t>
      </text>
    </comment>
    <comment authorId="0" ref="X119">
      <text>
        <t xml:space="preserve">======
ID#AAABAnSFf2s
Ester Casarez    (2023-12-06 18:52:40)
2= 1:2 group for 10 min.</t>
      </text>
    </comment>
    <comment authorId="0" ref="W119">
      <text>
        <t xml:space="preserve">======
ID#AAABAnSFf2o
Ester Casarez    (2023-12-06 18:52:31)
1= 1:2 group for 5 min.</t>
      </text>
    </comment>
    <comment authorId="0" ref="AA108">
      <text>
        <t xml:space="preserve">======
ID#AAABAnSFf2k
Ester Casarez    (2023-12-06 18:52:03)
Student will readily acquire new academic skills during group-instruction activities.</t>
      </text>
    </comment>
    <comment authorId="0" ref="AA109">
      <text>
        <t xml:space="preserve">======
ID#AAABAnSFf2g
Ester Casarez    (2023-12-06 18:51:53)
Student will appropriately take turns with other students during group-instruction activities.</t>
      </text>
    </comment>
    <comment authorId="0" ref="AA110">
      <text>
        <t xml:space="preserve">======
ID#AAABAnSFf2c
Ester Casarez    (2023-12-06 18:51:41)
Student will be able to raise her hand to answer simple questions about items that are not present.</t>
      </text>
    </comment>
    <comment authorId="0" ref="AA111">
      <text>
        <t xml:space="preserve">======
ID#AAABAnSFf2Y
Ester Casarez    (2023-12-06 18:51:29)
Student will be able to raise her hand and name an item being displayed.</t>
      </text>
    </comment>
    <comment authorId="0" ref="AA112">
      <text>
        <t xml:space="preserve">======
ID#AAABAnSFf2U
Ester Casarez    (2023-12-06 18:51:18)
Student will be able to raise her hand to answer simple questions.</t>
      </text>
    </comment>
    <comment authorId="0" ref="AA113">
      <text>
        <t xml:space="preserve">======
ID#AAABAnSFf2Q
Ester Casarez    (2023-12-06 18:51:05)
Student will raise her hand to respond to questions presented to the group of students regarding who would like to do an activity.</t>
      </text>
    </comment>
    <comment authorId="0" ref="AA114">
      <text>
        <t xml:space="preserve">======
ID#AAABAnSFf2M
Ester Casarez    (2023-12-06 18:50:49)
Student will follow instructions presented to a group of students which require her to make a discrimination.</t>
      </text>
    </comment>
    <comment authorId="0" ref="AA115">
      <text>
        <t xml:space="preserve">======
ID#AAABAnSFf2I
Ester Casarez    (2023-12-06 18:50:37)
Student will follow instructions presented to a group of students.</t>
      </text>
    </comment>
    <comment authorId="0" ref="AA116">
      <text>
        <t xml:space="preserve">======
ID#AAABAnSFf2E
Ester Casarez    (2023-12-06 18:50:26)
Student will attend to the responses given by other students during small group instruction.</t>
      </text>
    </comment>
    <comment authorId="0" ref="AA117">
      <text>
        <t xml:space="preserve">======
ID#AAABAnSFf2A
Ester Casarez    (2023-12-06 18:50:16)
Student will attend to a teacher during small-group instruction.</t>
      </text>
    </comment>
    <comment authorId="0" ref="AA118">
      <text>
        <t xml:space="preserve">======
ID#AAABAnSFf18
Ester Casarez    (2023-12-06 18:50:02)
Student will sit without engaging in disruptive behavior during group instruction.</t>
      </text>
    </comment>
    <comment authorId="0" ref="AA119">
      <text>
        <t xml:space="preserve">======
ID#AAABAnSFf14
Ester Casarez    (2023-12-06 18:49:51)
Student will sit without engaging in disruptive behavior during small-group instruction.</t>
      </text>
    </comment>
    <comment authorId="0" ref="AE110">
      <text>
        <t xml:space="preserve">======
ID#AAABAnKwFAg
Ester Casarez    (2023-12-06 18:48:10)
2= independently for up to 3 minutes</t>
      </text>
    </comment>
    <comment authorId="0" ref="AC110">
      <text>
        <t xml:space="preserve">======
ID#AAABAnKwFAc
Ester Casarez    (2023-12-06 18:47:57)
1= 50% without prompts</t>
      </text>
    </comment>
    <comment authorId="0" ref="AG110">
      <text>
        <t xml:space="preserve">======
ID#AAABAnKwFAY
Ester Casarez    (2023-12-06 18:47:44)
During classroom transitions Student will stand and wait appropriately for the next activity to begin.</t>
      </text>
    </comment>
    <comment authorId="0" ref="AE111">
      <text>
        <t xml:space="preserve">======
ID#AAABAnKwFAU
Ester Casarez    (2023-12-06 18:47:28)
2= independently</t>
      </text>
    </comment>
    <comment authorId="0" ref="AC111">
      <text>
        <t xml:space="preserve">======
ID#AAABAnKwFAQ
Ester Casarez    (2023-12-06 18:47:18)
1= 50% of instructions without prompts</t>
      </text>
    </comment>
    <comment authorId="0" ref="AG111">
      <text>
        <t xml:space="preserve">======
ID#AAABAnKwFAM
Ester Casarez    (2023-12-06 18:46:47)
Student will follow instructions to complete a task and bring the work to the teacher or return his/her own educational materials.</t>
      </text>
    </comment>
    <comment authorId="0" ref="AE112">
      <text>
        <t xml:space="preserve">======
ID#AAABAnKwFAI
Ester Casarez    (2023-12-06 18:46:17)
2= independently</t>
      </text>
    </comment>
    <comment authorId="0" ref="AC112">
      <text>
        <t xml:space="preserve">======
ID#AAABAnKwFAE
Ester Casarez    (2023-12-06 18:46:05)
1= 50% of instructions without prompts</t>
      </text>
    </comment>
    <comment authorId="0" ref="AG112">
      <text>
        <t xml:space="preserve">======
ID#AAABAnKwFAA
Ester Casarez    (2023-12-06 18:45:53)
Student will follow instructions to get and return his/her own educational materials.</t>
      </text>
    </comment>
    <comment authorId="0" ref="AF113">
      <text>
        <t xml:space="preserve">======
ID#AAABAnKwE_8
Ester Casarez    (2023-12-06 18:45:35)
4= 20 minutes</t>
      </text>
    </comment>
    <comment authorId="0" ref="AE113">
      <text>
        <t xml:space="preserve">======
ID#AAABAnKwE_4
Ester Casarez    (2023-12-06 18:45:25)
3= 15 minutes</t>
      </text>
    </comment>
    <comment authorId="0" ref="AD113">
      <text>
        <t xml:space="preserve">======
ID#AAABAnKwE_0
Ester Casarez    (2023-12-06 18:45:16)
2= 10 minutes</t>
      </text>
    </comment>
    <comment authorId="0" ref="AC113">
      <text>
        <t xml:space="preserve">======
ID#AAABAnKwE_w
Ester Casarez    (2023-12-06 18:45:02)
1= 5 minutes</t>
      </text>
    </comment>
    <comment authorId="0" ref="AG113">
      <text>
        <t xml:space="preserve">======
ID#AAABAnKwE_s
Ester Casarez    (2023-12-06 18:44:43)
Student will work independently on known educational activities.</t>
      </text>
    </comment>
    <comment authorId="0" ref="AE114">
      <text>
        <t xml:space="preserve">======
ID#AAABAnKwE_o
Ester Casarez    (2023-12-06 18:44:31)
2= independently</t>
      </text>
    </comment>
    <comment authorId="0" ref="AC114">
      <text>
        <t xml:space="preserve">======
ID#AAABAnKwE_k
Ester Casarez    (2023-12-06 18:44:21)
1= 50% of instructions without prompts</t>
      </text>
    </comment>
    <comment authorId="0" ref="AG114">
      <text>
        <t xml:space="preserve">======
ID#AAABAnKwE_g
Ester Casarez    (2023-12-06 18:43:51)
Student will follow instructions to form a line and wait appropriately while standing in the line.</t>
      </text>
    </comment>
    <comment authorId="0" ref="AG115">
      <text>
        <t xml:space="preserve">======
ID#AAABAnKwE_c
Ester Casarez    (2023-12-06 18:43:04)
Student will wait appropriately for his/her turn during classroom activities.</t>
      </text>
    </comment>
    <comment authorId="0" ref="AE115">
      <text>
        <t xml:space="preserve">======
ID#AAABAnKwE_Y
Ester Casarez    (2023-12-06 18:42:52)
2= independently for up to 2 minutes</t>
      </text>
    </comment>
    <comment authorId="0" ref="AC115">
      <text>
        <t xml:space="preserve">======
ID#AAABAnKwE_U
Ester Casarez    (2023-12-06 18:42:39)
1= independently for up to 30 seconds</t>
      </text>
    </comment>
    <comment authorId="0" ref="AE116">
      <text>
        <t xml:space="preserve">======
ID#AAABAnKwE_Q
Ester Casarez    (2023-12-06 18:42:14)
2= independently</t>
      </text>
    </comment>
    <comment authorId="0" ref="AC116">
      <text>
        <t xml:space="preserve">======
ID#AAABAnKwE_M
Ester Casarez    (2023-12-06 18:42:03)
1= 50% without prompts</t>
      </text>
    </comment>
    <comment authorId="0" ref="AG116">
      <text>
        <t xml:space="preserve">======
ID#AAABAnKwE_I
Ester Casarez    (2023-12-06 18:41:51)
Student will make appropriate transitions while following directions to move from one area to another in the classroom to change educational activities.</t>
      </text>
    </comment>
    <comment authorId="0" ref="AE117">
      <text>
        <t xml:space="preserve">======
ID#AAABAnKwE_E
Ester Casarez    (2023-12-06 18:41:32)
2= independently for up to 2 minutes</t>
      </text>
    </comment>
    <comment authorId="0" ref="AC117">
      <text>
        <t xml:space="preserve">======
ID#AAABAnKwE_A
Ester Casarez    (2023-12-06 18:41:14)
1= independently for up to 30 seconds</t>
      </text>
    </comment>
    <comment authorId="0" ref="AG117">
      <text>
        <t xml:space="preserve">======
ID#AAABAnKwE-8
Ester Casarez    (2023-12-06 18:41:00)
When seated during classroom transitions Student will wait appropriately for the next activity to begin.</t>
      </text>
    </comment>
    <comment authorId="0" ref="AF118">
      <text>
        <t xml:space="preserve">======
ID#AAABAnKwE-4
Ester Casarez    (2023-12-06 18:40:38)
4= 20 minutes</t>
      </text>
    </comment>
    <comment authorId="0" ref="AE118">
      <text>
        <t xml:space="preserve">======
ID#AAABAnKwE-0
Ester Casarez    (2023-12-06 18:40:24)
3= 15 minutes</t>
      </text>
    </comment>
    <comment authorId="0" ref="AD118">
      <text>
        <t xml:space="preserve">======
ID#AAABAnKaeSs
Ester Casarez    (2023-12-06 18:40:01)
2= 10 minutes</t>
      </text>
    </comment>
    <comment authorId="0" ref="AC118">
      <text>
        <t xml:space="preserve">======
ID#AAABAnKaeSo
Ester Casarez    (2023-12-06 18:39:48)
1= 5 minutes</t>
      </text>
    </comment>
    <comment authorId="0" ref="AG118">
      <text>
        <t xml:space="preserve">======
ID#AAABAnKaeSk
Ester Casarez    (2023-12-06 18:39:31)
Student will work independently on non-educational or leisure-type activities.</t>
      </text>
    </comment>
    <comment authorId="0" ref="AE119">
      <text>
        <t xml:space="preserve">======
ID#AAABAnKaeSg
Ester Casarez    (2023-12-06 18:39:18)
2= independently</t>
      </text>
    </comment>
    <comment authorId="0" ref="AC119">
      <text>
        <t xml:space="preserve">======
ID#AAABAnKaeSc
Ester Casarez    (2023-12-06 18:39:07)
1= 50% without verbal prompts</t>
      </text>
    </comment>
    <comment authorId="0" ref="AG119">
      <text>
        <t xml:space="preserve">======
ID#AAABAnKaeSY
Ester Casarez    (2023-12-06 18:38:55)
Student will independently follow daily classroom routines.</t>
      </text>
    </comment>
    <comment authorId="0" ref="AK114">
      <text>
        <t xml:space="preserve">======
ID#AAABAnKaeSM
Ester Casarez    (2023-12-06 18:30:42)
2= When Student is taught to receptively identify an item when given its function she can then state the item when verbally told its function</t>
      </text>
    </comment>
    <comment authorId="0" ref="AI114">
      <text>
        <t xml:space="preserve">======
ID#AAABAnKaeSI
Ester Casarez    (2023-12-06 18:30:34)
1= When taught the name of an item Student then can ask for and receptively identify the item</t>
      </text>
    </comment>
    <comment authorId="0" ref="AK115">
      <text>
        <t xml:space="preserve">======
ID#AAABAnKaeSE
Ester Casarez    (2023-12-06 18:30:00)
2= spontaneously uses a variety of appropriate responses rather than a single response and uses variation in responses with multiple components</t>
      </text>
    </comment>
    <comment authorId="0" ref="AI115">
      <text>
        <t xml:space="preserve">======
ID#AAABAnKaeSA
Ester Casarez    (2023-12-06 18:29:50)
1= uses some alternative responses with minimal verbal prompts</t>
      </text>
    </comment>
    <comment authorId="0" ref="AK116">
      <text>
        <t xml:space="preserve">======
ID#AAABAnKaeR8
Ester Casarez    (2023-12-06 18:29:31)
2= spontaneously uses acquired skills under group situations</t>
      </text>
    </comment>
    <comment authorId="0" ref="AI116">
      <text>
        <t xml:space="preserve">======
ID#AAABAnKaeR4
Ester Casarez    (2023-12-06 18:29:24)
1= uses skills in groups only with minimal verbal prompts</t>
      </text>
    </comment>
    <comment authorId="0" ref="AK117">
      <text>
        <t xml:space="preserve">======
ID#AAABAnKaeR0
Ester Casarez    (2023-12-06 18:29:03)
2= readily uses acquired skills without prompts outside of the original training situation</t>
      </text>
    </comment>
    <comment authorId="0" ref="AI117">
      <text>
        <t xml:space="preserve">======
ID#AAABAnKaeRw
Ester Casarez    (2023-12-06 18:28:46)
1= uses acquired skills outside of the original training situation with minimal verbal prompts</t>
      </text>
    </comment>
    <comment authorId="0" ref="AK118">
      <text>
        <t xml:space="preserve">======
ID#AAABAnKaeRs
Ester Casarez    (2023-12-06 18:28:16)
2= readily uses acquired skills with novel instructors</t>
      </text>
    </comment>
    <comment authorId="0" ref="AI118">
      <text>
        <t xml:space="preserve">======
ID#AAABAnKaeRo
Ester Casarez    (2023-12-06 18:28:04)
1= works readily with 4 or more instructors</t>
      </text>
    </comment>
    <comment authorId="0" ref="AK119">
      <text>
        <t xml:space="preserve">======
ID#AAABAnKaeRk
Ester Casarez    (2023-12-06 18:27:38)
2= acquires label &amp; receptive responses with 1 stimulus &amp; immediately generalizes to many stimuli within the class within 2 trials</t>
      </text>
    </comment>
    <comment authorId="0" ref="AI119">
      <text>
        <t xml:space="preserve">======
ID#AAABAnKaeRg
Ester Casarez    (2023-12-06 18:27:24)
1= generalizes to similar items within 10 trials</t>
      </text>
    </comment>
    <comment authorId="0" ref="AM114">
      <text>
        <t xml:space="preserve">======
ID#AAABAnKaeRc
Ester Casarez    (2023-12-06 18:26:18)
Student will be able to use words acquired during one type of language skill to other types of language skills.</t>
      </text>
    </comment>
    <comment authorId="0" ref="AM115">
      <text>
        <t xml:space="preserve">======
ID#AAABAnKaeRY
Ester Casarez    (2023-12-06 18:25:23)
Student will be able to use other appropriate responses after learning a response to a given situation.</t>
      </text>
    </comment>
    <comment authorId="0" ref="AM116">
      <text>
        <t xml:space="preserve">======
ID#AAABAnKaeRU
Ester Casarez    (2023-12-06 18:25:10)
Student will be able to use skills acquired in individual teaching sessions when in group situations with peers.</t>
      </text>
    </comment>
    <comment authorId="0" ref="AM117">
      <text>
        <t xml:space="preserve">======
ID#AAABAnKaeRQ
Ester Casarez    (2023-12-06 18:24:55)
Student will be able to use skills acquired in training situations in other situations.</t>
      </text>
    </comment>
    <comment authorId="0" ref="AM118">
      <text>
        <t xml:space="preserve">======
ID#AAABAnKaeRM
Ester Casarez    (2023-12-06 18:24:40)
Student will be able to use skills learned with one instructor with other instructors.</t>
      </text>
    </comment>
    <comment authorId="0" ref="AM119">
      <text>
        <t xml:space="preserve">======
ID#AAABAnKaeRI
Ester Casarez    (2023-12-06 18:24:27)
Student will use skills acquired with one item with similar examples of that item.</t>
      </text>
    </comment>
    <comment authorId="0" ref="AQ103">
      <text>
        <t xml:space="preserve">======
ID#AAABAnKaeQw
Ester Casarez    (2023-12-06 16:55:48)
2= can read at least three sentences and answer simple questions regarding the content</t>
      </text>
    </comment>
    <comment authorId="0" ref="AO103">
      <text>
        <t xml:space="preserve">======
ID#AAABAmxMBzQ
Ester Casarez    (2023-12-06 16:55:39)
1= can read a single sentence and answer a simple question regarding the content</t>
      </text>
    </comment>
    <comment authorId="0" ref="AS103">
      <text>
        <t xml:space="preserve">======
ID#AAABAmxMBzM
Ester Casarez    (2023-12-06 16:55:24)
Student will be able to read sentences and answer questions regarding the sentence.</t>
      </text>
    </comment>
    <comment authorId="0" ref="AQ104">
      <text>
        <t xml:space="preserve">======
ID#AAABAmxMBzI
Ester Casarez    (2023-12-06 16:55:14)
2= can read at least 20 sentences and follow at least 6 different directions</t>
      </text>
    </comment>
    <comment authorId="0" ref="AO104">
      <text>
        <t xml:space="preserve">======
ID#AAABAmxMBzE
Ester Casarez    (2023-12-06 16:55:03)
1= can read at least 10 sentences and follow at least 3 different directions (e.g. circle underline color)</t>
      </text>
    </comment>
    <comment authorId="0" ref="AS104">
      <text>
        <t xml:space="preserve">======
ID#AAABAmxMBzA
Ester Casarez    (2023-12-06 16:54:47)
Student will be able to read and follow simple instructions on worksheets.</t>
      </text>
    </comment>
    <comment authorId="0" ref="AQ105">
      <text>
        <t xml:space="preserve">======
ID#AAABAmxMBy8
Ester Casarez    (2023-12-06 16:54:35)
2= can read at least 20 sentences and perform at least 6 different actions</t>
      </text>
    </comment>
    <comment authorId="0" ref="AO105">
      <text>
        <t xml:space="preserve">======
ID#AAABAmxMBy4
Ester Casarez    (2023-12-06 16:54:23)
1= can read at least 10 sentences and perform at least 3 different actions (e.g. give get put on put in)</t>
      </text>
    </comment>
    <comment authorId="0" ref="AS105">
      <text>
        <t xml:space="preserve">======
ID#AAABAmxMBy0
Ester Casarez    (2023-12-06 16:54:07)
Student will be able to read and follow simple instructions to perform an action.</t>
      </text>
    </comment>
    <comment authorId="0" ref="AQ106">
      <text>
        <t xml:space="preserve">======
ID#AAABAmxMByw
Ester Casarez    (2023-12-06 16:53:55)
2= can select the appropriate word from an array of 3 words which differ on less than 50% of the letters</t>
      </text>
    </comment>
    <comment authorId="0" ref="AO106">
      <text>
        <t xml:space="preserve">======
ID#AAABAmxMBys
Ester Casarez    (2023-12-06 16:53:47)
1= can select the appropriate word from an array of 2 words which differ on more than 50% of the letters</t>
      </text>
    </comment>
    <comment authorId="0" ref="AS106">
      <text>
        <t xml:space="preserve">======
ID#AAABAmxMByo
Ester Casarez    (2023-12-06 16:53:31)
Student will be able to choose a word from a selection of words to fill in a missing word when given an incomplete sentence.</t>
      </text>
    </comment>
    <comment authorId="0" ref="AR107">
      <text>
        <t xml:space="preserve">======
ID#AAABAmxMByk
Ester Casarez    (2023-12-06 16:53:18)
4= can read any sentence containing combinations of known words</t>
      </text>
    </comment>
    <comment authorId="0" ref="AQ107">
      <text>
        <t xml:space="preserve">======
ID#AAABAmxMByg
Ester Casarez    (2023-12-06 16:53:08)
3= can read 10 four-to-six word sentences</t>
      </text>
    </comment>
    <comment authorId="0" ref="AP107">
      <text>
        <t xml:space="preserve">======
ID#AAABAmxMByc
Ester Casarez    (2023-12-06 16:52:53)
2= can read 5 four-to-six word sentences</t>
      </text>
    </comment>
    <comment authorId="0" ref="AO107">
      <text>
        <t xml:space="preserve">======
ID#AAABAmxMByY
Ester Casarez    (2023-12-06 16:52:43)
1= can read 2 four-to-six word sentences</t>
      </text>
    </comment>
    <comment authorId="0" ref="AS107">
      <text>
        <t xml:space="preserve">======
ID#AAABAmxMByU
Ester Casarez    (2023-12-06 16:52:25)
Student will be able to read sentences.</t>
      </text>
    </comment>
    <comment authorId="0" ref="AR108">
      <text>
        <t xml:space="preserve">======
ID#AAABAmxMByQ
Ester Casarez    (2023-12-06 16:52:13)
4= can read any phrase containing combinations of known words</t>
      </text>
    </comment>
    <comment authorId="0" ref="AQ108">
      <text>
        <t xml:space="preserve">======
ID#AAABAmxMByM
Ester Casarez    (2023-12-06 16:52:05)
3= can read 10 three-word phrases</t>
      </text>
    </comment>
    <comment authorId="0" ref="AP108">
      <text>
        <t xml:space="preserve">======
ID#AAABAmxMByI
Ester Casarez    (2023-12-06 16:51:51)
2= can read 5 three-word phrases</t>
      </text>
    </comment>
    <comment authorId="0" ref="AO108">
      <text>
        <t xml:space="preserve">======
ID#AAABAmxMByE
Ester Casarez    (2023-12-06 16:51:39)
1= can read 2 three-word phrases</t>
      </text>
    </comment>
    <comment authorId="0" ref="AS108">
      <text>
        <t xml:space="preserve">======
ID#AAABAmxMByA
Ester Casarez    (2023-12-06 16:51:08)
Student will be able to read phrases.</t>
      </text>
    </comment>
    <comment authorId="0" ref="AQ109">
      <text>
        <t xml:space="preserve">======
ID#AAABAmxMBx8
Ester Casarez    (2023-12-06 16:50:54)
2= can sound out 20 words of 4 or more letters including words that Student doesn't know receptively or as a label</t>
      </text>
    </comment>
    <comment authorId="0" ref="AO109">
      <text>
        <t xml:space="preserve">======
ID#AAABAmxMBx4
Ester Casarez    (2023-12-06 16:50:39)
1= can sound out any consonant-vowel-consonant words using known phonemes</t>
      </text>
    </comment>
    <comment authorId="0" ref="AS109">
      <text>
        <t xml:space="preserve">======
ID#AAABAmxMBx0
Ester Casarez    (2023-12-06 16:50:26)
Student will be able to decode unknown words.</t>
      </text>
    </comment>
    <comment authorId="0" ref="AR110">
      <text>
        <t xml:space="preserve">======
ID#AAABAmxMBxw
Ester Casarez    (2023-12-06 16:47:59)
4= can read at least 50 words</t>
      </text>
    </comment>
    <comment authorId="0" ref="AQ110">
      <text>
        <t xml:space="preserve">======
ID#AAABAmxMBxs
Ester Casarez    (2023-12-06 16:47:45)
3= can read at least 20 words</t>
      </text>
    </comment>
    <comment authorId="0" ref="AP110">
      <text>
        <t xml:space="preserve">======
ID#AAABAmxMBxo
Ester Casarez    (2023-12-06 16:47:32)
2= can read at least 10 words</t>
      </text>
    </comment>
    <comment authorId="0" ref="AO110">
      <text>
        <t xml:space="preserve">======
ID#AAABAmxMBxk
Ester Casarez    (2023-12-06 16:47:15)
1= can read at least 5 words</t>
      </text>
    </comment>
    <comment authorId="0" ref="AS110">
      <text>
        <t xml:space="preserve">======
ID#AAABAmxMBxg
Ester Casarez    (2023-12-06 16:46:50)
Student will be able to read words.</t>
      </text>
    </comment>
    <comment authorId="0" ref="AQ111">
      <text>
        <t xml:space="preserve">======
ID#AAABAmxMBxc
Ester Casarez    (2023-12-06 16:46:29)
2= can add a letter in any position of the word for at least 10 words</t>
      </text>
    </comment>
    <comment authorId="0" ref="AO111">
      <text>
        <t xml:space="preserve">======
ID#AAABAmxMBxY
Ester Casarez    (2023-12-06 16:46:15)
1= can add a letter at least one position of the word for at least 5 words</t>
      </text>
    </comment>
    <comment authorId="0" ref="AS111">
      <text>
        <t xml:space="preserve">======
ID#AAABAmxMBxU
Ester Casarez    (2023-12-06 16:46:06)
Given a picture of an object and two of three letters provided, Student will be able to add a small letter card to complete three-letter words.</t>
      </text>
    </comment>
    <comment authorId="0" ref="AQ112">
      <text>
        <t xml:space="preserve">======
ID#AAABAmxMBxQ
Ester Casarez    (2023-12-06 16:45:48)
2= can match letters for words up to 5 letters in length when given extra letters some of which are similar (e.g. e &amp; a)</t>
      </text>
    </comment>
    <comment authorId="0" ref="AO112">
      <text>
        <t xml:space="preserve">======
ID#AAABAmxMBxM
Ester Casarez    (2023-12-06 16:45:33)
1= can match letters for words up to 3 letters in length when not given extra letters and the letters are not similar (e.g. bat)</t>
      </text>
    </comment>
    <comment authorId="0" ref="AS112">
      <text>
        <t xml:space="preserve">======
ID#AAABAmxMBxI
Ester Casarez    (2023-12-06 16:45:21)
Student will be able to match individual letters to the letters on cards with single 5-letter words.</t>
      </text>
    </comment>
    <comment authorId="0" ref="AQ113">
      <text>
        <t xml:space="preserve">======
ID#AAABAmxMBxE
Ester Casarez    (2023-12-06 16:45:03)
2= can point to and name the letters of 5 letter words (left to right) without prompts</t>
      </text>
    </comment>
    <comment authorId="0" ref="AO113">
      <text>
        <t xml:space="preserve">======
ID#AAABAmxMBxA
Ester Casarez    (2023-12-06 16:44:52)
1= can point to and name the letters of 3 letter words (left to right) with only one prompt per word</t>
      </text>
    </comment>
    <comment authorId="0" ref="AS113">
      <text>
        <t xml:space="preserve">======
ID#AAABAmxMBw8
Ester Casarez    (2023-12-06 16:44:41)
Student will be able to name the letters of words reading from left to right across the word.</t>
      </text>
    </comment>
    <comment authorId="0" ref="AR114">
      <text>
        <t xml:space="preserve">======
ID#AAABAmxMBw4
Ester Casarez    (2023-12-06 16:44:25)
4= different fonts with only 1 letter different in non-target words</t>
      </text>
    </comment>
    <comment authorId="0" ref="AQ114">
      <text>
        <t xml:space="preserve">======
ID#AAABAmxMBw0
Ester Casarez    (2023-12-06 16:43:56)
3= same fonts 1 letter different</t>
      </text>
    </comment>
    <comment authorId="0" ref="AP114">
      <text>
        <t xml:space="preserve">======
ID#AAABAmxMBww
Ester Casarez    (2023-12-06 16:43:45)
2= same fonts 2 letters different in non-matching words</t>
      </text>
    </comment>
    <comment authorId="0" ref="AO114">
      <text>
        <t xml:space="preserve">======
ID#AAABAmxMBws
Ester Casarez    (2023-12-06 16:43:34)
1= same fonts with 3 or more different letters in non-matching words</t>
      </text>
    </comment>
    <comment authorId="0" ref="AS114">
      <text>
        <t xml:space="preserve">======
ID#AAABAmxMBwo
Ester Casarez    (2023-12-06 16:43:21)
Student will be able to match word cards to those same words written in different fonts presented in a display of three word cards.</t>
      </text>
    </comment>
    <comment authorId="0" ref="AR115">
      <text>
        <t xml:space="preserve">======
ID#AAABAmxMBwk
Ester Casarez    (2023-12-06 16:43:02)
4= can match at least 20 words with corresponding pictures</t>
      </text>
    </comment>
    <comment authorId="0" ref="AQ115">
      <text>
        <t xml:space="preserve">======
ID#AAABAmxMBwg
Ester Casarez    (2023-12-06 16:42:50)
3= can match at least 10 words with corresponding pictures</t>
      </text>
    </comment>
    <comment authorId="0" ref="AP115">
      <text>
        <t xml:space="preserve">======
ID#AAABAmxMBwc
Ester Casarez    (2023-12-06 16:42:39)
2= can match at least 5 words with corresponding pictures</t>
      </text>
    </comment>
    <comment authorId="0" ref="AO115">
      <text>
        <t xml:space="preserve">======
ID#AAABAmxMBwY
Ester Casarez    (2023-12-06 16:42:27)
1= can match at least 2 words with corresponding pictures</t>
      </text>
    </comment>
    <comment authorId="0" ref="AS115">
      <text>
        <t xml:space="preserve">======
ID#AAABAmxMBwU
Ester Casarez    (2023-12-06 16:42:15)
Student will be able to match words to pictures.</t>
      </text>
    </comment>
    <comment authorId="0" ref="AR116">
      <text>
        <t xml:space="preserve">======
ID#AAABAmxMBwQ
Ester Casarez    (2023-12-06 16:38:30)
4= can identify the sounds of at least 20 letters</t>
      </text>
    </comment>
    <comment authorId="0" ref="AQ116">
      <text>
        <t xml:space="preserve">======
ID#AAABAmxMBwM
Ester Casarez    (2023-12-06 16:37:57)
3= can identify the sounds of at least 10 letters</t>
      </text>
    </comment>
    <comment authorId="0" ref="AP116">
      <text>
        <t xml:space="preserve">======
ID#AAABAmxMBwI
Ester Casarez    (2023-12-06 16:37:42)
2= can identify the sounds of at least 5 letters</t>
      </text>
    </comment>
    <comment authorId="0" ref="AO116">
      <text>
        <t xml:space="preserve">======
ID#AAABAmxMBwE
Ester Casarez    (2023-12-06 16:37:26)
1= can identify the sounds of at least 2 letters</t>
      </text>
    </comment>
    <comment authorId="0" ref="AS116">
      <text>
        <t xml:space="preserve">======
ID#AAABAmxMBwA
Ester Casarez    (2023-12-06 16:37:08)
Student will be able to give the sounds associated with letters.</t>
      </text>
    </comment>
    <comment authorId="0" ref="AR117">
      <text>
        <t xml:space="preserve">======
ID#AAABAmxMBv8
Ester Casarez    (2023-12-06 16:35:40)
4= can identify the sounds of at least 20 letters</t>
      </text>
    </comment>
    <comment authorId="0" ref="AQ117">
      <text>
        <t xml:space="preserve">======
ID#AAABAmxMBv4
Ester Casarez    (2023-12-06 16:35:25)
3= can identify the sounds of at least 10 letters</t>
      </text>
    </comment>
    <comment authorId="0" ref="AP117">
      <text>
        <t xml:space="preserve">======
ID#AAABAmxMBv0
Ester Casarez    (2023-12-06 16:35:11)
2= can identify the sounds of at least 5 letters</t>
      </text>
    </comment>
    <comment authorId="0" ref="AO117">
      <text>
        <t xml:space="preserve">======
ID#AAABAmxMBvw
Ester Casarez    (2023-12-06 16:34:54)
1= can identify the sounds of at least 2 letters</t>
      </text>
    </comment>
    <comment authorId="0" ref="AS117">
      <text>
        <t xml:space="preserve">======
ID#AAABAmxMBvs
Ester Casarez    (2023-12-06 16:34:37)
Student will be able to select the corresponding letter when given the sounds associated with letter.</t>
      </text>
    </comment>
    <comment authorId="0" ref="AR118">
      <text>
        <t xml:space="preserve">======
ID#AAABAmxMBvo
Ester Casarez    (2023-12-06 16:33:16)
4= can label all 26 upper- and lower-case letters</t>
      </text>
    </comment>
    <comment authorId="0" ref="AQ118">
      <text>
        <t xml:space="preserve">======
ID#AAABAmxMBvk
Ester Casarez    (2023-12-06 16:32:52)
3= can label a total of at least 15 upper- or lower-case letters</t>
      </text>
    </comment>
    <comment authorId="0" ref="AP118">
      <text>
        <t xml:space="preserve">======
ID#AAABAmxMBvg
Ester Casarez    (2023-12-06 16:32:20)
2= can label at least a total of 10 upper- or lower-case letters</t>
      </text>
    </comment>
    <comment authorId="0" ref="AO118">
      <text>
        <t xml:space="preserve">======
ID#AAABAmxMBvc
Ester Casarez    (2023-12-06 16:32:03)
1= can label at least a total of 5 upper- or lower-case letters</t>
      </text>
    </comment>
    <comment authorId="0" ref="AS118">
      <text>
        <t xml:space="preserve">======
ID#AAABAmxMBvY
Ester Casarez    (2023-12-06 16:31:27)
Student will be able to name upper- and lower-case letters.</t>
      </text>
    </comment>
    <comment authorId="0" ref="AR119">
      <text>
        <t xml:space="preserve">======
ID#AAABAmxMBvU
Ester Casarez    (2023-12-06 16:30:14)
4= can identify all 26 upper- and lower-case letters</t>
      </text>
    </comment>
    <comment authorId="0" ref="AQ119">
      <text>
        <t xml:space="preserve">======
ID#AAABAmxMBvQ
Ester Casarez    (2023-12-06 16:29:56)
3= can identify a total of at least 15 upper- or lower-case letters</t>
      </text>
    </comment>
    <comment authorId="0" ref="AP119">
      <text>
        <t xml:space="preserve">======
ID#AAABAmxMBvM
Ester Casarez    (2023-12-06 16:29:33)
2= can identify at least a total of 10 upper- or lower-case letters</t>
      </text>
    </comment>
    <comment authorId="0" ref="AO119">
      <text>
        <t xml:space="preserve">======
ID#AAABAmxMBvI
Ester Casarez    (2023-12-06 16:29:18)
1= can identify at least a total of 5 upper- or lower-case letters</t>
      </text>
    </comment>
    <comment authorId="0" ref="AS119">
      <text>
        <t xml:space="preserve">======
ID#AAABAmxMBvE
Ester Casarez    (2023-12-06 16:29:01)
Student will be able to receptively identify upper- and lower-case letters.</t>
      </text>
    </comment>
    <comment authorId="0" ref="AY91">
      <text>
        <t xml:space="preserve">======
ID#AAABAlG5FYk
Ester Casarez    (2023-12-05 20:57:50)
Student will be able to receptively identify and label examples of the word "subtract/take away."</t>
      </text>
    </comment>
    <comment authorId="0" ref="AY92">
      <text>
        <t xml:space="preserve">======
ID#AAABAlG5FYg
Ester Casarez    (2023-12-05 20:57:37)
Student will be able to receptively identify and label examples of the word "plus."</t>
      </text>
    </comment>
    <comment authorId="0" ref="AY93">
      <text>
        <t xml:space="preserve">======
ID#AAABAlG5FYc
Ester Casarez    (2023-12-05 20:57:26)
Student will be able to receptively identify and label examples of the word "minus."</t>
      </text>
    </comment>
    <comment authorId="0" ref="AY94">
      <text>
        <t xml:space="preserve">======
ID#AAABAlG5FYY
Ester Casarez    (2023-12-05 20:57:14)
Student will be able to receptively identify and label examples of the word "unequal."</t>
      </text>
    </comment>
    <comment authorId="0" ref="AY95">
      <text>
        <t xml:space="preserve">======
ID#AAABAlG5FYU
Ester Casarez    (2023-12-05 20:57:02)
Student will be able to receptively identify and label examples of the word "equal."</t>
      </text>
    </comment>
    <comment authorId="0" ref="AW91">
      <text>
        <t xml:space="preserve">======
ID#AAABAlG5FYQ
Ester Casarez    (2023-12-05 20:56:48)
2= can both receptively identify and label</t>
      </text>
    </comment>
    <comment authorId="0" ref="AW92">
      <text>
        <t xml:space="preserve">======
ID#AAABAlG5FYM
Ester Casarez    (2023-12-05 20:56:43)
2= can both receptively identify and label</t>
      </text>
    </comment>
    <comment authorId="0" ref="AW93">
      <text>
        <t xml:space="preserve">======
ID#AAABAlG5FYI
Ester Casarez    (2023-12-05 20:56:39)
2= can both receptively identify and label</t>
      </text>
    </comment>
    <comment authorId="0" ref="AW94">
      <text>
        <t xml:space="preserve">======
ID#AAABAlG5FYE
Ester Casarez    (2023-12-05 20:56:34)
2= can both receptively identify and label</t>
      </text>
    </comment>
    <comment authorId="0" ref="AW95">
      <text>
        <t xml:space="preserve">======
ID#AAABAlG5FYA
Ester Casarez    (2023-12-05 20:56:29)
2= can both receptively identify and label</t>
      </text>
    </comment>
    <comment authorId="0" ref="AU91">
      <text>
        <t xml:space="preserve">======
ID#AAABAlG5FX8
Ester Casarez    (2023-12-05 20:56:15)
1= can either receptively identify or label</t>
      </text>
    </comment>
    <comment authorId="0" ref="AU92">
      <text>
        <t xml:space="preserve">======
ID#AAABAlG5FX4
Ester Casarez    (2023-12-05 20:56:10)
1= can either receptively identify or label</t>
      </text>
    </comment>
    <comment authorId="0" ref="AU93">
      <text>
        <t xml:space="preserve">======
ID#AAABAlG5FX0
Ester Casarez    (2023-12-05 20:56:05)
1= can either receptively identify or label</t>
      </text>
    </comment>
    <comment authorId="0" ref="AU94">
      <text>
        <t xml:space="preserve">======
ID#AAABAlG5FXw
Ester Casarez    (2023-12-05 20:56:01)
1= can either receptively identify or label</t>
      </text>
    </comment>
    <comment authorId="0" ref="AU95">
      <text>
        <t xml:space="preserve">======
ID#AAABAlG5FXs
Ester Casarez    (2023-12-05 20:55:54)
1= can either receptively identify or label</t>
      </text>
    </comment>
    <comment authorId="0" ref="AX96">
      <text>
        <t xml:space="preserve">======
ID#AAABAlG5FXo
Ester Casarez    (2023-12-05 20:55:18)
4= can add a mixture of various coins to $1.00</t>
      </text>
    </comment>
    <comment authorId="0" ref="AW96">
      <text>
        <t xml:space="preserve">======
ID#AAABAlG5FXk
Ester Casarez    (2023-12-05 20:55:07)
3= can add a mixture of various coins to 50 cents</t>
      </text>
    </comment>
    <comment authorId="0" ref="AV96">
      <text>
        <t xml:space="preserve">======
ID#AAABAlG5FXg
Ester Casarez    (2023-12-05 20:54:51)
2= can add coins to 25 cents</t>
      </text>
    </comment>
    <comment authorId="0" ref="AU96">
      <text>
        <t xml:space="preserve">======
ID#AAABAlG5FXc
Ester Casarez    (2023-12-05 20:54:39)
1= can add coins to 10 cents</t>
      </text>
    </comment>
    <comment authorId="0" ref="AY96">
      <text>
        <t xml:space="preserve">======
ID#AAABAlG5FXY
Ester Casarez    (2023-12-05 20:54:12)
Student will be able to interchange coins to arrive at equal values</t>
      </text>
    </comment>
    <comment authorId="0" ref="AW97">
      <text>
        <t xml:space="preserve">======
ID#AAABAlG5FXU
Ester Casarez    (2023-12-05 20:53:52)
2= can identify 4 coins by value</t>
      </text>
    </comment>
    <comment authorId="0" ref="AU97">
      <text>
        <t xml:space="preserve">======
ID#AAABAlG5FXQ
Ester Casarez    (2023-12-05 20:53:36)
1= can identify 2 coins by value</t>
      </text>
    </comment>
    <comment authorId="0" ref="AW98">
      <text>
        <t xml:space="preserve">======
ID#AAABAlG5FXM
Ester Casarez    (2023-12-05 20:53:12)
2= can identify 4 coins by name</t>
      </text>
    </comment>
    <comment authorId="0" ref="AU98">
      <text>
        <t xml:space="preserve">======
ID#AAABAlG5FXI
Ester Casarez    (2023-12-05 20:53:00)
1= can identify 2 coins by name</t>
      </text>
    </comment>
    <comment authorId="0" ref="AY97">
      <text>
        <t xml:space="preserve">======
ID#AAABAlG5FXE
Ester Casarez    (2023-12-05 20:52:39)
Student will be able to identify the values of all coins.</t>
      </text>
    </comment>
    <comment authorId="0" ref="AY98">
      <text>
        <t xml:space="preserve">======
ID#AAABAlG5FXA
Ester Casarez    (2023-12-05 20:52:26)
Student will be able to identify all coins by name.</t>
      </text>
    </comment>
    <comment authorId="0" ref="AX99">
      <text>
        <t xml:space="preserve">======
ID#AAABAlG5FW8
Ester Casarez    (2023-12-05 20:52:04)
4= to the nearest minute</t>
      </text>
    </comment>
    <comment authorId="0" ref="AW99">
      <text>
        <t xml:space="preserve">======
ID#AAABAlG5FW4
Ester Casarez    (2023-12-05 20:51:52)
3= to the quarter hour</t>
      </text>
    </comment>
    <comment authorId="0" ref="AV99">
      <text>
        <t xml:space="preserve">======
ID#AAABAlG5FW0
Ester Casarez    (2023-12-05 20:51:42)
2= to the half hour</t>
      </text>
    </comment>
    <comment authorId="0" ref="AU99">
      <text>
        <t xml:space="preserve">======
ID#AAABAlG5FWw
Ester Casarez    (2023-12-05 20:51:30)
1= to the hour</t>
      </text>
    </comment>
    <comment authorId="0" ref="AX100">
      <text>
        <t xml:space="preserve">======
ID#AAABAlG5FWs
Ester Casarez    (2023-12-05 20:51:10)
4= adds 2 numbers 1 to 99 with carrying</t>
      </text>
    </comment>
    <comment authorId="0" ref="AW100">
      <text>
        <t xml:space="preserve">======
ID#AAABAlG5FWo
Ester Casarez    (2023-12-05 20:51:00)
3= adds 2 numbers 1 to 20 with carrying</t>
      </text>
    </comment>
    <comment authorId="0" ref="AV100">
      <text>
        <t xml:space="preserve">======
ID#AAABAlG5FWk
Ester Casarez    (2023-12-05 20:50:38)
2= adds 2 numbers 1 to 20 without carrying</t>
      </text>
    </comment>
    <comment authorId="0" ref="AU100">
      <text>
        <t xml:space="preserve">======
ID#AAABAlG5FWg
Ester Casarez    (2023-12-05 20:50:25)
1= adds 2 numbers 1 to 10</t>
      </text>
    </comment>
    <comment authorId="0" ref="AX101">
      <text>
        <t xml:space="preserve">======
ID#AAABAlG5FWc
Ester Casarez    (2023-12-05 20:49:57)
4= can get any amount up to 10</t>
      </text>
    </comment>
    <comment authorId="0" ref="AW101">
      <text>
        <t xml:space="preserve">======
ID#AAABAlG5FWY
Ester Casarez    (2023-12-05 20:49:45)
3= get any amount up to 6</t>
      </text>
    </comment>
    <comment authorId="0" ref="AV101">
      <text>
        <t xml:space="preserve">======
ID#AAABAlG5FWU
Ester Casarez    (2023-12-05 20:49:32)
2= can get any amount up to 4</t>
      </text>
    </comment>
    <comment authorId="0" ref="AU101">
      <text>
        <t xml:space="preserve">======
ID#AAABAlG5FWQ
Ester Casarez    (2023-12-05 20:49:18)
1= can get up to 2 items</t>
      </text>
    </comment>
    <comment authorId="0" ref="AY99">
      <text>
        <t xml:space="preserve">======
ID#AAABAlG5FWM
Ester Casarez    (2023-12-05 20:48:54)
Student will be able to tell time to the nearest minute</t>
      </text>
    </comment>
    <comment authorId="0" ref="AY100">
      <text>
        <t xml:space="preserve">======
ID#AAABAlG5FWI
Ester Casarez    (2023-12-05 20:48:41)
Student will be able to add numbers with carrying.</t>
      </text>
    </comment>
    <comment authorId="0" ref="AY101">
      <text>
        <t xml:space="preserve">======
ID#AAABAlG5FWE
Ester Casarez    (2023-12-05 20:48:15)
Student will be able to walk at least 10 feet and count-out a specified number of identical items (up to 10 items) from a larger set and return with those items.</t>
      </text>
    </comment>
    <comment authorId="0" ref="AY102">
      <text>
        <t xml:space="preserve">======
ID#AAABAlG5FWA
Ester Casarez    (2023-12-05 20:48:00)
Student will be able to receptively identify and label examples of the word "add."</t>
      </text>
    </comment>
    <comment authorId="0" ref="AY103">
      <text>
        <t xml:space="preserve">======
ID#AAABAlG5FV8
Ester Casarez    (2023-12-05 20:47:45)
Student will be able to receptively identify and label examples of the word "greater."</t>
      </text>
    </comment>
    <comment authorId="0" ref="AY104">
      <text>
        <t xml:space="preserve">======
ID#AAABAlG5FV4
Ester Casarez    (2023-12-05 20:47:27)
Student will be able to receptively identify and label examples of the word "different."</t>
      </text>
    </comment>
    <comment authorId="0" ref="AW102">
      <text>
        <t xml:space="preserve">======
ID#AAABAlG5FV0
Ester Casarez    (2023-12-05 20:46:58)
2= can both receptively identify and label</t>
      </text>
    </comment>
    <comment authorId="0" ref="AW103">
      <text>
        <t xml:space="preserve">======
ID#AAABAlG5FVw
Ester Casarez    (2023-12-05 20:46:54)
2= can both receptively identify and label</t>
      </text>
    </comment>
    <comment authorId="0" ref="AW104">
      <text>
        <t xml:space="preserve">======
ID#AAABAlG5FVs
Ester Casarez    (2023-12-05 20:46:49)
2= can both receptively identify and label</t>
      </text>
    </comment>
    <comment authorId="0" ref="AW105">
      <text>
        <t xml:space="preserve">======
ID#AAABAlG5FVo
Ester Casarez    (2023-12-05 20:46:45)
2= can both receptively identify and label</t>
      </text>
    </comment>
    <comment authorId="0" ref="AU102">
      <text>
        <t xml:space="preserve">======
ID#AAABAlG5FVk
Ester Casarez    (2023-12-05 20:46:23)
1= can either receptively identify or label</t>
      </text>
    </comment>
    <comment authorId="0" ref="AU103">
      <text>
        <t xml:space="preserve">======
ID#AAABAlG5FVg
Ester Casarez    (2023-12-05 20:46:19)
1= can either receptively identify or label</t>
      </text>
    </comment>
    <comment authorId="0" ref="AU104">
      <text>
        <t xml:space="preserve">======
ID#AAABAlG5FVc
Ester Casarez    (2023-12-05 20:46:12)
1= can either receptively identify or label</t>
      </text>
    </comment>
    <comment authorId="0" ref="AU105">
      <text>
        <t xml:space="preserve">======
ID#AAABAlG5FVY
Ester Casarez    (2023-12-05 20:45:51)
1= can either receptively identify or label</t>
      </text>
    </comment>
    <comment authorId="0" ref="AY105">
      <text>
        <t xml:space="preserve">======
ID#AAABAlG5FVU
Ester Casarez    (2023-12-05 20:45:32)
Student will be able to receptively identify and label examples of the word "same."</t>
      </text>
    </comment>
    <comment authorId="0" ref="AW106">
      <text>
        <t xml:space="preserve">======
ID#AAABAlG5FVQ
Ester Casarez    (2023-12-05 20:36:30)
2= physically places additional items to make a total set of up to 10 items</t>
      </text>
    </comment>
    <comment authorId="0" ref="AU106">
      <text>
        <t xml:space="preserve">======
ID#AAABAlG5FVM
Ester Casarez    (2023-12-05 20:36:07)
1= physically places additional items to make a total set of up to 5 items.</t>
      </text>
    </comment>
    <comment authorId="0" ref="AY106">
      <text>
        <t xml:space="preserve">======
ID#AAABAlG5FVI
Ester Casarez    (2023-12-05 20:35:51)
Given a set of items, Student will be able to get the correct number of additional items to make a set of a specified quantity.</t>
      </text>
    </comment>
    <comment authorId="0" ref="AY107">
      <text>
        <t xml:space="preserve">======
ID#AAABAlG5FVE
Ester Casarez    (2023-12-05 20:35:27)
Student will be able to receptively identify and label examples of the word "zero/none."</t>
      </text>
    </comment>
    <comment authorId="0" ref="AY108">
      <text>
        <t xml:space="preserve">======
ID#AAABAlG5FVA
Ester Casarez    (2023-12-05 20:35:14)
Student will be able to receptively identify and label examples of the word "all."</t>
      </text>
    </comment>
    <comment authorId="0" ref="AY109">
      <text>
        <t xml:space="preserve">======
ID#AAABAlG5FU8
Ester Casarez    (2023-12-05 20:34:57)
Student will be able to receptively identify and label examples of the word "some."</t>
      </text>
    </comment>
    <comment authorId="0" ref="AW107">
      <text>
        <t xml:space="preserve">======
ID#AAABAlG5FU4
Ester Casarez    (2023-12-05 20:34:38)
2= can both receptively identify and label</t>
      </text>
    </comment>
    <comment authorId="0" ref="AW108">
      <text>
        <t xml:space="preserve">======
ID#AAABAlG5FU0
Ester Casarez    (2023-12-05 20:34:34)
2= can both receptively identify and label</t>
      </text>
    </comment>
    <comment authorId="0" ref="AW109">
      <text>
        <t xml:space="preserve">======
ID#AAABAlG5FUw
Ester Casarez    (2023-12-05 20:34:15)
2= can both receptively identify and label</t>
      </text>
    </comment>
    <comment authorId="0" ref="AU107">
      <text>
        <t xml:space="preserve">======
ID#AAABAlG5FUs
Ester Casarez    (2023-12-05 20:33:56)
1= can either receptively identify or label</t>
      </text>
    </comment>
    <comment authorId="0" ref="AU108">
      <text>
        <t xml:space="preserve">======
ID#AAABAlG5FUo
Ester Casarez    (2023-12-05 20:33:43)
1= can either receptively identify or label</t>
      </text>
    </comment>
    <comment authorId="0" ref="AU109">
      <text>
        <t xml:space="preserve">======
ID#AAABAlG5FUk
Ester Casarez    (2023-12-05 20:33:37)
1= can either receptively identify or label</t>
      </text>
    </comment>
    <comment authorId="0" ref="AY110">
      <text>
        <t xml:space="preserve">======
ID#AAABAlG5FUg
Ester Casarez    (2023-12-05 20:33:12)
Student will be able to receptively identify and label examples of the word "less."</t>
      </text>
    </comment>
    <comment authorId="0" ref="AW110">
      <text>
        <t xml:space="preserve">======
ID#AAABAlG5FUc
Ester Casarez    (2023-12-05 20:32:57)
2= can both receptively identify and label</t>
      </text>
    </comment>
    <comment authorId="0" ref="AU110">
      <text>
        <t xml:space="preserve">======
ID#AAABAlG5FUY
Ester Casarez    (2023-12-05 20:32:46)
1= can either receptively identify or label</t>
      </text>
    </comment>
    <comment authorId="0" ref="AW111">
      <text>
        <t xml:space="preserve">======
ID#AAABAlNmxDI
Ester Casarez    (2023-12-05 17:28:04)
2= can both receptively identify and label</t>
      </text>
    </comment>
    <comment authorId="0" ref="AU111">
      <text>
        <t xml:space="preserve">======
ID#AAABAlNmxDE
Ester Casarez    (2023-12-05 17:27:45)
1= can either receptively identify or label</t>
      </text>
    </comment>
    <comment authorId="0" ref="AY111">
      <text>
        <t xml:space="preserve">======
ID#AAABAlNmxDA
Ester Casarez    (2023-12-05 17:27:26)
Student will be able to receptively identify and label examples of the word "more."</t>
      </text>
    </comment>
    <comment authorId="0" ref="AX112">
      <text>
        <t xml:space="preserve">======
ID#AAABAlNmxC8
Ester Casarez    (2023-12-05 17:27:01)
4= can match items with numbers to 30 (and vice versa)</t>
      </text>
    </comment>
    <comment authorId="0" ref="AW112">
      <text>
        <t xml:space="preserve">======
ID#AAABAlNmxC4
Ester Casarez    (2023-12-05 17:26:44)
3= can match items with numbers to 20</t>
      </text>
    </comment>
    <comment authorId="0" ref="AV112">
      <text>
        <t xml:space="preserve">======
ID#AAABAlNmxC0
Ester Casarez    (2023-12-05 17:26:29)
2= can match items with numbers to 10</t>
      </text>
    </comment>
    <comment authorId="0" ref="AU112">
      <text>
        <t xml:space="preserve">======
ID#AAABAlNmxCs
Ester Casarez    (2023-12-05 17:26:12)
1= can match items with numbers to 5</t>
      </text>
    </comment>
    <comment authorId="0" ref="AY112">
      <text>
        <t xml:space="preserve">======
ID#AAABAlNmxCo
Ester Casarez    (2023-12-05 17:25:58)
Student will be able to match numbers with the same amount of items and vice versa.</t>
      </text>
    </comment>
    <comment authorId="0" ref="AY113">
      <text>
        <t xml:space="preserve">======
ID#AAABAlNmxCk
Ester Casarez    (2023-12-05 17:25:28)
Student will be able to name numbers to 100.</t>
      </text>
    </comment>
    <comment authorId="0" ref="AX113">
      <text>
        <t xml:space="preserve">======
ID#AAABAlNmxCg
Ester Casarez    (2023-12-05 17:25:15)
4= can identify numbers to 100</t>
      </text>
    </comment>
    <comment authorId="0" ref="AW113">
      <text>
        <t xml:space="preserve">======
ID#AAABAlNmxCc
Ester Casarez    (2023-12-05 17:25:00)
3= can identify numbers to 30</t>
      </text>
    </comment>
    <comment authorId="0" ref="AV113">
      <text>
        <t xml:space="preserve">======
ID#AAABAlNmxCY
Ester Casarez    (2023-12-05 17:24:43)
2= can identify numbers to 20</t>
      </text>
    </comment>
    <comment authorId="0" ref="AU113">
      <text>
        <t xml:space="preserve">======
ID#AAABAlNmxCU
Ester Casarez    (2023-12-05 17:24:17)
1= can identify numbers to 10</t>
      </text>
    </comment>
    <comment authorId="0" ref="AY114">
      <text>
        <t xml:space="preserve">======
ID#AAABAlNmxCQ
Ester Casarez    (2023-12-05 17:22:48)
Student will be able to name the numerals on a number line.</t>
      </text>
    </comment>
    <comment authorId="0" ref="AW114">
      <text>
        <t xml:space="preserve">======
ID#AAABAlNmxCM
Ester Casarez    (2023-12-05 17:22:30)
2= will name the numerals 1 to 10 on a number line</t>
      </text>
    </comment>
    <comment authorId="0" ref="AU114">
      <text>
        <t xml:space="preserve">======
ID#AAABAlNmxCI
Ester Casarez    (2023-12-05 17:22:15)
1= will name the numerals on a number line when verbally prompted "1,2.." while instructor points to the numerals.</t>
      </text>
    </comment>
    <comment authorId="0" ref="AX115">
      <text>
        <t xml:space="preserve">======
ID#AAABAlNmxCA
Ester Casarez    (2023-12-05 17:21:43)
4= can count any amount up to 30</t>
      </text>
    </comment>
    <comment authorId="0" ref="AW115">
      <text>
        <t xml:space="preserve">======
ID#AAABAlNmxB8
Ester Casarez    (2023-12-05 17:21:29)
3= can count any amount up to 20</t>
      </text>
    </comment>
    <comment authorId="0" ref="AV115">
      <text>
        <t xml:space="preserve">======
ID#AAABAlNmxB4
Ester Casarez    (2023-12-05 17:21:10)
2= can count any amount up to 10</t>
      </text>
    </comment>
    <comment authorId="0" ref="AU115">
      <text>
        <t xml:space="preserve">======
ID#AAABAlNmxB0
Ester Casarez    (2023-12-05 17:20:54)
1= can count any amount up to 5</t>
      </text>
    </comment>
    <comment authorId="0" ref="AY115">
      <text>
        <t xml:space="preserve">======
ID#AAABAlNmxBw
Ester Casarez    (2023-12-05 17:20:36)
Student will be able to count out a specified number of items from a larger set of items.</t>
      </text>
    </comment>
    <comment authorId="0" ref="AY116">
      <text>
        <t xml:space="preserve">======
ID#AAABAlNmxBs
Ester Casarez    (2023-12-05 17:20:12)
Student will be able to count the number of items given to her even if the items are not arranged in a straight row.</t>
      </text>
    </comment>
    <comment authorId="0" ref="AX116">
      <text>
        <t xml:space="preserve">======
ID#AAABAlNmxBo
Ester Casarez    (2023-12-05 17:19:52)
4= can count any amount up to 100</t>
      </text>
    </comment>
    <comment authorId="0" ref="AW116">
      <text>
        <t xml:space="preserve">======
ID#AAABAlNmxBk
Ester Casarez    (2023-12-05 17:18:59)
3= can count any amount up to 20</t>
      </text>
    </comment>
    <comment authorId="0" ref="AV116">
      <text>
        <t xml:space="preserve">======
ID#AAABAlNmxBg
Ester Casarez    (2023-12-05 17:18:41)
2= can count any amount up to 10</t>
      </text>
    </comment>
    <comment authorId="0" ref="AU116">
      <text>
        <t xml:space="preserve">======
ID#AAABAk-kweg
Ester Casarez    (2023-12-05 17:18:20)
1= can count any amount up to 5 even if the items are not presented in a row (i.e. slightly scattered)</t>
      </text>
    </comment>
    <comment authorId="0" ref="AY117">
      <text>
        <t xml:space="preserve">======
ID#AAABAk-kwec
Ester Casarez    (2023-12-05 17:17:57)
Student will be able to continue counting objects to 10 when the counting sequence is started for her.</t>
      </text>
    </comment>
    <comment authorId="0" ref="AW117">
      <text>
        <t xml:space="preserve">======
ID#AAABAk-kweY
Ester Casarez    (2023-12-05 17:17:36)
2= can continue counting objects to 10 if started with "1 2"</t>
      </text>
    </comment>
    <comment authorId="0" ref="AU117">
      <text>
        <t xml:space="preserve">======
ID#AAABAk-kweU
Ester Casarez    (2023-12-05 17:17:14)
1= can count along with instructor to 10 (vocal imitation) even if the instructor varies the pace of the counting (e.g. 1 2 ...(pause) 3,...4 5...6 etc)</t>
      </text>
    </comment>
    <comment authorId="0" ref="AY118">
      <text>
        <t xml:space="preserve">======
ID#AAABAk-kweQ
Ester Casarez    (2023-12-05 17:16:29)
Student will be able to rote count to 30.</t>
      </text>
    </comment>
    <comment authorId="0" ref="AX118">
      <text>
        <t xml:space="preserve">======
ID#AAABAk-kweM
Ester Casarez    (2023-12-05 17:16:14)
4= can count to any specified number up to 30</t>
      </text>
    </comment>
    <comment authorId="0" ref="AW118">
      <text>
        <t xml:space="preserve">======
ID#AAABAk-kweI
Ester Casarez    (2023-12-05 17:15:46)
3= can count to 30</t>
      </text>
    </comment>
    <comment authorId="0" ref="AV118">
      <text>
        <t xml:space="preserve">======
ID#AAABAk-kweE
Ester Casarez    (2023-12-05 17:15:27)
2= can count to 20</t>
      </text>
    </comment>
    <comment authorId="0" ref="AU118">
      <text>
        <t xml:space="preserve">======
ID#AAABAk-kweA
Ester Casarez    (2023-12-05 17:15:11)
1= can count to 10</t>
      </text>
    </comment>
    <comment authorId="0" ref="AY119">
      <text>
        <t xml:space="preserve">======
ID#AAABAk-kwd8
Ester Casarez    (2023-12-05 17:14:48)
Student will be able to continue counting to 10 when the counting sequence is started for her.</t>
      </text>
    </comment>
    <comment authorId="0" ref="AW119">
      <text>
        <t xml:space="preserve">======
ID#AAABAk-kwd0
Ester Casarez    (2023-12-05 17:14:29)
2= can continue counting to 10 if started with "1 2"</t>
      </text>
    </comment>
    <comment authorId="0" ref="AU119">
      <text>
        <t xml:space="preserve">======
ID#AAABAk-kwdw
Ester Casarez    (2023-12-05 17:14:13)
1= can count along with instructor to 10 (vocal imitation)</t>
      </text>
    </comment>
    <comment authorId="0" ref="T53">
      <text>
        <t xml:space="preserve">======
ID#AAABB2YTakw
Deleted user    (2023-12-04 23:15:37)
4 = at least 3 activities without prompts</t>
      </text>
    </comment>
    <comment authorId="0" ref="S53">
      <text>
        <t xml:space="preserve">======
ID#AAABB2YTaks
Deleted user    (2023-12-04 23:15:26)
3 = at least 3 with only one verbal or pointing prompt</t>
      </text>
    </comment>
    <comment authorId="0" ref="R53">
      <text>
        <t xml:space="preserve">======
ID#AAABB2YTako
Deleted user    (2023-12-04 23:15:09)
2 = 3 or more with a model and no physical prompts</t>
      </text>
    </comment>
    <comment authorId="0" ref="Q53">
      <text>
        <t xml:space="preserve">======
ID#AAABB2YTakk
Deleted user    (2023-12-04 23:14:48)
1 = 3 or more activities with only partial physical prompts</t>
      </text>
    </comment>
    <comment authorId="0" ref="U53">
      <text>
        <t xml:space="preserve">======
ID#AAABB2YTakg
Deleted user    (2023-12-04 23:14:32)
The students will comply with the instructions to do a non-preferred activity when the activity is presently occurring.</t>
      </text>
    </comment>
    <comment authorId="0" ref="T54">
      <text>
        <t xml:space="preserve">======
ID#AAABB2YTakc
Deleted user    (2023-12-04 23:13:49)
4 = at least 3 activities without prompts</t>
      </text>
    </comment>
    <comment authorId="0" ref="S54">
      <text>
        <t xml:space="preserve">======
ID#AAABB2YTakY
Deleted user    (2023-12-04 23:13:37)
3 = at least 3 with only one verbal or pointing prompt</t>
      </text>
    </comment>
    <comment authorId="0" ref="R54">
      <text>
        <t xml:space="preserve">======
ID#AAABB2YTakU
Deleted user    (2023-12-04 23:13:22)
2 = 3 or more with a model and no physical prompts</t>
      </text>
    </comment>
    <comment authorId="0" ref="Q54">
      <text>
        <t xml:space="preserve">======
ID#AAABB2YTakQ
Deleted user    (2023-12-04 23:13:07)
1 = 3 or more activities with only partial physical prompts</t>
      </text>
    </comment>
    <comment authorId="0" ref="U54">
      <text>
        <t xml:space="preserve">======
ID#AAABB2YTakM
Deleted user    (2023-12-04 23:12:53)
The student will comply with instructions to do a preferred activity even though it is not occurring at that time.</t>
      </text>
    </comment>
    <comment authorId="0" ref="S55">
      <text>
        <t xml:space="preserve">======
ID#AAABB2YTakI
Deleted user    (2023-12-04 23:12:31)
2 = readily touches an item in any position (up/down/left/right) within 3 seconds</t>
      </text>
    </comment>
    <comment authorId="0" ref="Q55">
      <text>
        <t xml:space="preserve">======
ID#AAABB2YTakE
Deleted user    (2023-12-04 23:12:15)
1 = touches or grabs an item within 3 seconds if it is held in front of him</t>
      </text>
    </comment>
    <comment authorId="0" ref="U55">
      <text>
        <t xml:space="preserve">======
ID#AAABB2JKbPA
Deleted user    (2023-12-04 23:11:54)
Upon instruction, the student will touch a common item held in various positions.</t>
      </text>
    </comment>
    <comment authorId="0" ref="S56">
      <text>
        <t xml:space="preserve">======
ID#AAABB2JKbO8
Deleted user    (2023-12-04 23:11:25)
2 = readily touches an item in any position (up/down/left/right) within 3 seconds</t>
      </text>
    </comment>
    <comment authorId="0" ref="Q56">
      <text>
        <t xml:space="preserve">======
ID#AAABB2JKbO4
Deleted user    (2023-12-04 23:10:59)
1 = touches or grabs an item within 3 seconds if it is held in front of him</t>
      </text>
    </comment>
    <comment authorId="0" ref="U56">
      <text>
        <t xml:space="preserve">======
ID#AAABB2JKbO0
Deleted user    (2023-12-04 23:10:38)
Upon instruction, the student will touch a preferred item held in various positions.</t>
      </text>
    </comment>
    <comment authorId="0" ref="S57">
      <text>
        <t xml:space="preserve">======
ID#AAABB2JKbOw
Deleted user    (2023-12-04 23:10:15)
2 = looks at it in any position (up/down/left/right) within 3 seconds</t>
      </text>
    </comment>
    <comment authorId="0" ref="Q57">
      <text>
        <t xml:space="preserve">======
ID#AAABB2JKbOs
Deleted user    (2023-12-04 23:09:58)
1 = will look at item but requires an additional prompt to look or takes more than 3 seconds to respond</t>
      </text>
    </comment>
    <comment authorId="0" ref="U57">
      <text>
        <t xml:space="preserve">======
ID#AAABB2JKbOo
Deleted user    (2023-12-04 23:09:32)
Upon request, student quill look at a reinforcing item held by an instructor.</t>
      </text>
    </comment>
    <comment authorId="0" ref="T58">
      <text>
        <t xml:space="preserve">======
ID#AAABB2JKbOk
Deleted user    (2023-12-04 23:09:08)
4 = at least 3 activities without prompts</t>
      </text>
    </comment>
    <comment authorId="0" ref="S58">
      <text>
        <t xml:space="preserve">======
ID#AAABB2JKbOg
Deleted user    (2023-12-04 23:08:57)
3 = at least 3 activities with only one additional verbal or pointing prompt</t>
      </text>
    </comment>
    <comment authorId="0" ref="R58">
      <text>
        <t xml:space="preserve">======
ID#AAABB2JKbOc
Deleted user    (2023-12-04 23:08:42)
2 = 3 or more activities with a model and no physical prompts</t>
      </text>
    </comment>
    <comment authorId="0" ref="Q58">
      <text>
        <t xml:space="preserve">======
ID#AAABB2JKbOY
Deleted user    (2023-12-04 23:08:25)
1 = 3 or more activities with only partial physical prompts</t>
      </text>
    </comment>
    <comment authorId="0" ref="U58">
      <text>
        <t xml:space="preserve">======
ID#AAABB2JKbOU
Deleted user    (2023-12-04 23:08:12)
When given instructions to do a preferred. activity in the context of the ongoing activity, the student will comply with the instructions.</t>
      </text>
    </comment>
    <comment authorId="0" ref="S59">
      <text>
        <t xml:space="preserve">======
ID#AAABB2JKbOQ
Deleted user    (2023-12-04 23:07:47)
2 = looks or comes at least 80% of the time</t>
      </text>
    </comment>
    <comment authorId="0" ref="Q59">
      <text>
        <t xml:space="preserve">======
ID#AAABB2JKbOM
Deleted user    (2023-12-04 23:07:31)
1 = requires some prompts to respond</t>
      </text>
    </comment>
    <comment authorId="0" ref="U59">
      <text>
        <t xml:space="preserve">======
ID#AAABB2JKbOI
Deleted user    (2023-12-04 23:07:22)
Student will look at or come to a person when called by his name.</t>
      </text>
    </comment>
    <comment authorId="0" ref="M33">
      <text>
        <t xml:space="preserve">======
ID#AAAA82QhTh4
Deleted user    (2023-12-04 20:23:48)
2 = can draw a line from start to end in a maze which has 3 choice points for selecting the correct path</t>
      </text>
    </comment>
    <comment authorId="0" ref="K33">
      <text>
        <t xml:space="preserve">======
ID#AAAA82QhTh0
Deleted user    (2023-12-04 20:23:20)
1 = can draw a line in a maze which has only 1 choice point for selecting the correct path</t>
      </text>
    </comment>
    <comment authorId="0" ref="O33">
      <text>
        <t xml:space="preserve">======
ID#AAAA82QhThw
Deleted user    (2023-12-04 20:23:02)
The student will be able to draw a line from the start to the end of simple mazes.</t>
      </text>
    </comment>
    <comment authorId="0" ref="N34">
      <text>
        <t xml:space="preserve">======
ID#AAAA82QhThs
Deleted user    (2023-12-04 20:22:44)
4 = can arrange at least five sets of four items in a sequence</t>
      </text>
    </comment>
    <comment authorId="0" ref="M34">
      <text>
        <t xml:space="preserve">======
ID#AAAA82QhTho
Deleted user    (2023-12-04 20:22:24)
3 = five sets of items with a three-card sequence</t>
      </text>
    </comment>
    <comment authorId="0" ref="L34">
      <text>
        <t xml:space="preserve">======
ID#AAAA82QhThk
Deleted user    (2023-12-04 20:22:08)
2 = three sets of items with a three-card sequence</t>
      </text>
    </comment>
    <comment authorId="0" ref="K34">
      <text>
        <t xml:space="preserve">======
ID#AAAA82QhThg
Deleted user    (2023-12-04 20:21:42)
1 = the two sets of items with a three-card sequence</t>
      </text>
    </comment>
    <comment authorId="0" ref="O34">
      <text>
        <t xml:space="preserve">======
ID#AAAA82QhThc
Deleted user    (2023-12-04 20:21:26)
The student will be able to arrange a set of picture cards in the appropriate sequence.</t>
      </text>
    </comment>
    <comment authorId="0" ref="N35">
      <text>
        <t xml:space="preserve">======
ID#AAAA82QhThY
Deleted user    (2023-12-04 20:21:06)
4 = can arrange at least four sets of items for each of the four specified attributes</t>
      </text>
    </comment>
    <comment authorId="0" ref="M35">
      <text>
        <t xml:space="preserve">======
ID#AAAA82QhThU
Deleted user    (2023-12-04 20:20:49)
3 = two sets of items for three attributes</t>
      </text>
    </comment>
    <comment authorId="0" ref="L35">
      <text>
        <t xml:space="preserve">======
ID#AAAA82QhThQ
Deleted user    (2023-12-04 20:20:35)
2 = two sets of items for two attributes</t>
      </text>
    </comment>
    <comment authorId="0" ref="K35">
      <text>
        <t xml:space="preserve">======
ID#AAAA82QhThM
Deleted user    (2023-12-04 20:20:23)
1 = two sets of items for one attribute</t>
      </text>
    </comment>
    <comment authorId="0" ref="O35">
      <text>
        <t xml:space="preserve">======
ID#AAAA82QhThI
Deleted user    (2023-12-04 20:20:11)
When given a model of the start and end of continuum, student will be able to arrange additional task stimuli in the appropriate order by size, quantity, shade of color, and sequence.</t>
      </text>
    </comment>
    <comment authorId="0" ref="M36">
      <text>
        <t xml:space="preserve">======
ID#AAAA82QhThE
Deleted user    (2023-12-04 20:19:23)
2 = can immediately place an items on a corresponding item for a series of at least 6 responses</t>
      </text>
    </comment>
    <comment authorId="0" ref="K36">
      <text>
        <t xml:space="preserve">======
ID#AAAA82QhThA
Deleted user    (2023-12-04 20:19:00)
1 = can immediately place an item on a corresponding item for a series of at least 3 responses</t>
      </text>
    </comment>
    <comment authorId="0" ref="O36">
      <text>
        <t xml:space="preserve">======
ID#AAAA82QhTg8
Deleted user    (2023-12-04 20:18:44)
The student will be able to observe a person placing multiple identical objects on a table and then place a different item on each of those items immediately after each one of the first type of item has been placed.</t>
      </text>
    </comment>
    <comment authorId="0" ref="M37">
      <text>
        <t xml:space="preserve">======
ID#AAAA82QhTg4
Deleted user    (2023-12-04 20:17:55)
2 = can replicate 2 objects using at least 6 blocks or other items</t>
      </text>
    </comment>
    <comment authorId="0" ref="K37">
      <text>
        <t xml:space="preserve">======
ID#AAAA82QhTg0
Deleted user    (2023-12-04 20:17:38)
1 = can replicate 2 objects using at least 3 blocks or other items</t>
      </text>
    </comment>
    <comment authorId="0" ref="O37">
      <text>
        <t xml:space="preserve">======
ID#AAAA82QhTgw
Deleted user    (2023-12-04 20:17:23)
Given a set of blocks or other items and a model of a simple 3-dimensional object (e.g., a house, car), the student will be able to arrange the blocks or other items to replicate the structure.</t>
      </text>
    </comment>
    <comment authorId="0" ref="N38">
      <text>
        <t xml:space="preserve">======
ID#AAAA82QhTgs
Deleted user    (2023-12-04 20:16:38)
4 = continues an irregular pattern with at least 3 different stimuli with irrelevant pieces present</t>
      </text>
    </comment>
    <comment authorId="0" ref="M38">
      <text>
        <t xml:space="preserve">======
ID#AAAA82QhTgo
Deleted user    (2023-12-04 20:16:14)
3 = three items in a regular sequence with extra irrelevant pieces present</t>
      </text>
    </comment>
    <comment authorId="0" ref="L38">
      <text>
        <t xml:space="preserve">======
ID#AAAA82QhTgk
Deleted user    (2023-12-04 20:15:57)
2 = three items in a regular sequence</t>
      </text>
    </comment>
    <comment authorId="0" ref="K38">
      <text>
        <t xml:space="preserve">======
ID#AAAA82QhTgg
Deleted user    (2023-12-04 20:15:46)
1 = two items in an alternating sequence</t>
      </text>
    </comment>
    <comment authorId="0" ref="O38">
      <text>
        <t xml:space="preserve">======
ID#AAAA82QhTgc
Deleted user    (2023-12-04 20:15:29)
When given a model of items in a specific sequence (regular and irregular), the student will be able to continue adding items in the correct sequence (e.g., ABABAB, ABCABC, ABBABB, AABAAB, ABBCABBC).</t>
      </text>
    </comment>
    <comment authorId="0" ref="N39">
      <text>
        <t xml:space="preserve">======
ID#AAAA82QhTgY
Deleted user    (2023-12-04 20:14:23)
4 = after 5 second delay, can find any one of 10 items within 3 seconds, when presented an array of 5 items</t>
      </text>
    </comment>
    <comment authorId="0" ref="M39">
      <text>
        <t xml:space="preserve">======
ID#AAAA82QhTgU
Deleted user    (2023-12-04 20:13:59)
3 = after 3 second delay, can find any one of 5 items within 3 seconds</t>
      </text>
    </comment>
    <comment authorId="0" ref="L39">
      <text>
        <t xml:space="preserve">======
ID#AAAA82QhTgQ
Deleted user    (2023-12-04 20:13:27)
2 = after 3 second delay, can find any one of 5 items within 3 seconds, when presented an array of 3 items</t>
      </text>
    </comment>
    <comment authorId="0" ref="K39">
      <text>
        <t xml:space="preserve">======
ID#AAAA82QhTgM
Deleted user    (2023-12-04 20:12:59)
1 = after 2 second day, can find any one of 3 items within 3 seconds, when presented an array of 2 items</t>
      </text>
    </comment>
    <comment authorId="0" ref="O39">
      <text>
        <t xml:space="preserve">======
ID#AAAA82QhTgI
Deleted user    (2023-12-04 20:12:32)
When shown a specific item and it is removed, and five items are then presented (one being the same as the original item), the student will be able to find the initial item.</t>
      </text>
    </comment>
    <comment authorId="0" ref="N40">
      <text>
        <t xml:space="preserve">======
ID#AAAA82QhTgE
Deleted user    (2023-12-04 20:11:49)
4 = immediately, with three items after 5 second delay</t>
      </text>
    </comment>
    <comment authorId="0" ref="M40">
      <text>
        <t xml:space="preserve">======
ID#AAAA82QhTgA
Deleted user    (2023-12-04 20:11:29)
3 = three items with two second delay or two items with 5 second delay</t>
      </text>
    </comment>
    <comment authorId="0" ref="L40">
      <text>
        <t xml:space="preserve">======
ID#AAAA82QhTf8
Deleted user    (2023-12-04 20:11:02)
2 = two items in two seconds without prompts</t>
      </text>
    </comment>
    <comment authorId="0" ref="K40">
      <text>
        <t xml:space="preserve">======
ID#AAAA82QhTf4
Deleted user    (2023-12-04 20:10:51)
1 = two items with 2 second delay with only verbal or gestural prompts</t>
      </text>
    </comment>
    <comment authorId="0" ref="O40">
      <text>
        <t xml:space="preserve">======
ID#AAAA82QhTf0
Deleted user    (2023-12-04 20:10:29)
After having been shown a model of items in a specific sequence and then having the model removed, the student will be able to replicate the sequence.</t>
      </text>
    </comment>
    <comment authorId="0" ref="N41">
      <text>
        <t xml:space="preserve">======
ID#AAAA82QhTfw
Deleted user    (2023-12-04 20:09:55)
4 = at least 5 items from 4 classes</t>
      </text>
    </comment>
    <comment authorId="0" ref="M41">
      <text>
        <t xml:space="preserve">======
ID#AAAA82QhTfs
Deleted user    (2023-12-04 20:09:45)
3 = at least 5 items from 3 classes</t>
      </text>
    </comment>
    <comment authorId="0" ref="L41">
      <text>
        <t xml:space="preserve">======
ID#AAAA82QhTfo
Deleted user    (2023-12-04 20:09:36)
2 = at least 5 items from 2 classes</t>
      </text>
    </comment>
    <comment authorId="0" ref="K41">
      <text>
        <t xml:space="preserve">======
ID#AAAA82QhTfk
Deleted user    (2023-12-04 20:09:25)
1 = at least 2 items from 2 classes</t>
      </text>
    </comment>
    <comment authorId="0" ref="O41">
      <text>
        <t xml:space="preserve">======
ID#AAAA82QhTfg
Deleted user    (2023-12-04 20:09:14)
When provided with a sample of three different classes of items and shown a demonstration of matching another member of each class, the student will be able to sort additional pictures that match the class to which the item belongs.</t>
      </text>
    </comment>
    <comment authorId="0" ref="N42">
      <text>
        <t xml:space="preserve">======
ID#AAAA82QhTfc
Deleted user    (2023-12-04 20:08:27)
4 = at least 5 items from 4 features/parts</t>
      </text>
    </comment>
    <comment authorId="0" ref="M42">
      <text>
        <t xml:space="preserve">======
ID#AAAA82QhTfY
Deleted user    (2023-12-04 20:08:18)
3 = at least 5 items from 3 features/parts</t>
      </text>
    </comment>
    <comment authorId="0" ref="L42">
      <text>
        <t xml:space="preserve">======
ID#AAAA82QhTfU
Deleted user    (2023-12-04 20:08:09)
2 = at least 5 items from 2 features/parts</t>
      </text>
    </comment>
    <comment authorId="0" ref="K42">
      <text>
        <t xml:space="preserve">======
ID#AAAA82QhTfQ
Deleted user    (2023-12-04 20:07:57)
1 = at least 2 items from 2 features/parts</t>
      </text>
    </comment>
    <comment authorId="0" ref="O42">
      <text>
        <t xml:space="preserve">======
ID#AAAA82QhTfM
Deleted user    (2023-12-04 20:07:29)
When provided with a sample of two items that have different features/parts and shown a demonstrations of matching another item that has the same feature/part, the student will be able to sort additional pictures that have the same features/parts with the correct samples items.</t>
      </text>
    </comment>
    <comment authorId="0" ref="N43">
      <text>
        <t xml:space="preserve">======
ID#AAAA82QhTfI
Deleted user    (2023-12-04 20:06:14)
4 = at least 5 items from 4 functions</t>
      </text>
    </comment>
    <comment authorId="0" ref="M43">
      <text>
        <t xml:space="preserve">======
ID#AAAA82QhTfE
Deleted user    (2023-12-04 20:06:03)
3 = at least 5 items from 3 functions</t>
      </text>
    </comment>
    <comment authorId="0" ref="L43">
      <text>
        <t xml:space="preserve">======
ID#AAAA82QhTfA
Deleted user    (2023-12-04 20:05:49)
2 = at least 5 items from 2 functions</t>
      </text>
    </comment>
    <comment authorId="0" ref="K43">
      <text>
        <t xml:space="preserve">======
ID#AAAA82QhTe8
Deleted user    (2023-12-04 20:05:38)
1 = at least 2 items from 2 functions</t>
      </text>
    </comment>
    <comment authorId="0" ref="O43">
      <text>
        <t xml:space="preserve">======
ID#AAAA82QhTe4
Deleted user    (2023-12-04 20:05:20)
When provided with a sample of two items that have different functions and shown a demonstrations of matching another items that has the same function, the student will be able to sort additional pictures that have the same functions with the correct samples items.</t>
      </text>
    </comment>
    <comment authorId="0" ref="N44">
      <text>
        <t xml:space="preserve">======
ID#AAAA82QhTe0
Deleted user    (2023-12-04 20:02:11)
4 = can match at least 2 related pictures for 20 or more items</t>
      </text>
    </comment>
    <comment authorId="0" ref="M44">
      <text>
        <t xml:space="preserve">======
ID#AAAA82QhTes
Deleted user    (2023-12-04 20:01:54)
3 = 2 related pictures for 10 items</t>
      </text>
    </comment>
    <comment authorId="0" ref="L44">
      <text>
        <t xml:space="preserve">======
ID#AAAA82QhTeo
Deleted user    (2023-12-04 20:01:43)
2 = 1 related picture for 10 items</t>
      </text>
    </comment>
    <comment authorId="0" ref="K44">
      <text>
        <t xml:space="preserve">======
ID#AAAA82QhTek
Deleted user    (2023-12-04 20:01:26)
1 = can match at least 1 related picture for 5 items</t>
      </text>
    </comment>
    <comment authorId="0" ref="E171">
      <text>
        <t xml:space="preserve">======
ID#AAAA82QhTec
Ester Casarez    (2023-12-04 20:01:13)
1= writes (rough approximation) any 5 numbers without a model</t>
      </text>
    </comment>
    <comment authorId="0" ref="F171">
      <text>
        <t xml:space="preserve">======
ID#AAAA82QhTeY
Ester Casarez    (2023-12-04 20:01:02)
2= writes (rough approximation) numbers 1 to 10</t>
      </text>
    </comment>
    <comment authorId="0" ref="O44">
      <text>
        <t xml:space="preserve">======
ID#AAAA82QhTeU
Deleted user    (2023-12-04 20:00:55)
Given an array of items or pictures, the student will be able to match an item that is associated with one of the items in the array (e.g., match a bat to picture of a ball).</t>
      </text>
    </comment>
    <comment authorId="0" ref="G171">
      <text>
        <t xml:space="preserve">======
ID#AAAA82QhTeQ
Ester Casarez    (2023-12-04 20:00:48)
3= can neatly write numbers 1 to 20</t>
      </text>
    </comment>
    <comment authorId="0" ref="H171">
      <text>
        <t xml:space="preserve">======
ID#AAAA82QhTeM
Ester Casarez    (2023-12-04 20:00:25)
4= neatly writes numbers 1 to 100</t>
      </text>
    </comment>
    <comment authorId="0" ref="E172">
      <text>
        <t xml:space="preserve">======
ID#AAAA82QhTeI
Ester Casarez    (2023-12-04 19:58:25)
1= writes (rough approximation) at least 5 letters without a model</t>
      </text>
    </comment>
    <comment authorId="0" ref="F172">
      <text>
        <t xml:space="preserve">======
ID#AAAA82QhTeE
Ester Casarez    (2023-12-04 19:58:07)
2= writes (rough approximation) at least 10 letters</t>
      </text>
    </comment>
    <comment authorId="0" ref="G172">
      <text>
        <t xml:space="preserve">======
ID#AAAA82QhTeA
Ester Casarez    (2023-12-04 19:57:52)
3= neatly write at least 10 upper or lower case letters</t>
      </text>
    </comment>
    <comment authorId="0" ref="H172">
      <text>
        <t xml:space="preserve">======
ID#AAAA82QhTd8
Ester Casarez    (2023-12-04 19:57:36)
4= can neatly write all upper &amp; lower case letters accurately within lines</t>
      </text>
    </comment>
    <comment authorId="0" ref="I171">
      <text>
        <t xml:space="preserve">======
ID#AAAA82QhTd4
Ester Casarez    (2023-12-04 19:57:18)
Student will be able to print numbers without a model.</t>
      </text>
    </comment>
    <comment authorId="0" ref="I172">
      <text>
        <t xml:space="preserve">======
ID#AAAA82QhTd0
Ester Casarez    (2023-12-04 19:57:06)
Student will be able to print letters without a model.</t>
      </text>
    </comment>
    <comment authorId="0" ref="E173">
      <text>
        <t xml:space="preserve">======
ID#AAAA82QhTdw
Ester Casarez    (2023-12-04 19:56:42)
1= can copy (rough approximation) any 5 numbers</t>
      </text>
    </comment>
    <comment authorId="0" ref="F173">
      <text>
        <t xml:space="preserve">======
ID#AAAA82QhTds
Ester Casarez    (2023-12-04 19:56:26)
2= can copy (rough approximation) numbers 1 to 10</t>
      </text>
    </comment>
    <comment authorId="0" ref="G173">
      <text>
        <t xml:space="preserve">======
ID#AAAA82QhTdo
Ester Casarez    (2023-12-04 19:56:10)
3= can neatly copy numbers 1 to 20</t>
      </text>
    </comment>
    <comment authorId="0" ref="H173">
      <text>
        <t xml:space="preserve">======
ID#AAAA82QhTdk
Ester Casarez    (2023-12-04 19:55:53)
4= can neatly copy numbers 1 to 100</t>
      </text>
    </comment>
    <comment authorId="0" ref="I173">
      <text>
        <t xml:space="preserve">======
ID#AAAA82QhTdg
Ester Casarez    (2023-12-04 19:55:37)
Student will be able to copy numbers.</t>
      </text>
    </comment>
    <comment authorId="0" ref="E174">
      <text>
        <t xml:space="preserve">======
ID#AAAA82QhTdc
Ester Casarez    (2023-12-04 19:54:04)
1= can copy (rough approximation) at least 5 letters</t>
      </text>
    </comment>
    <comment authorId="0" ref="N45">
      <text>
        <t xml:space="preserve">======
ID#AAAA82QhTdY
Deleted user    (2023-12-04 19:53:47)
4 = at least four puzzles with 12 pieces</t>
      </text>
    </comment>
    <comment authorId="0" ref="F174">
      <text>
        <t xml:space="preserve">======
ID#AAAA82QhTdU
Ester Casarez    (2023-12-04 19:53:46)
2= can copy (rough approximation) at least 10 letters</t>
      </text>
    </comment>
    <comment authorId="0" ref="M45">
      <text>
        <t xml:space="preserve">======
ID#AAAA82QhTdQ
Deleted user    (2023-12-04 19:53:37)
3 = 2 puzzles with 12 pieces</t>
      </text>
    </comment>
    <comment authorId="0" ref="G174">
      <text>
        <t xml:space="preserve">======
ID#AAAA82QhTdM
Ester Casarez    (2023-12-04 19:53:26)
3= neatly copy at least 10 upper or lower case letters</t>
      </text>
    </comment>
    <comment authorId="0" ref="L45">
      <text>
        <t xml:space="preserve">======
ID#AAAA82QhTdI
Deleted user    (2023-12-04 19:53:21)
2 = two puzzles with 8 pieces</t>
      </text>
    </comment>
    <comment authorId="0" ref="H174">
      <text>
        <t xml:space="preserve">======
ID#AAAA82QhTdE
Ester Casarez    (2023-12-04 19:53:08)
4= can neatly copy all upper &amp; lower case letters accurately within lines</t>
      </text>
    </comment>
    <comment authorId="0" ref="K45">
      <text>
        <t xml:space="preserve">======
ID#AAAA82QhTdA
Deleted user    (2023-12-04 19:53:07)
1 = one puzzle with at least 8 pieces</t>
      </text>
    </comment>
    <comment authorId="0" ref="O45">
      <text>
        <t xml:space="preserve">======
ID#AAAA82QhTc8
Deleted user    (2023-12-04 19:52:56)
When given a standard jigsaw puzzle (interlocking pieces without a frame), the student will correctly complete the puzzle.</t>
      </text>
    </comment>
    <comment authorId="0" ref="I174">
      <text>
        <t xml:space="preserve">======
ID#AAAA82QhTc4
Ester Casarez    (2023-12-04 19:52:47)
Student will be able to copy letters.</t>
      </text>
    </comment>
    <comment authorId="0" ref="E175">
      <text>
        <t xml:space="preserve">======
ID#AAAA82QhTc0
Ester Casarez    (2023-12-04 19:49:11)
1= roughly copies simple curved lines with minimal physical or visual prompts</t>
      </text>
    </comment>
    <comment authorId="0" ref="F175">
      <text>
        <t xml:space="preserve">======
ID#AAAA82QhTcw
Ester Casarez    (2023-12-04 19:48:46)
2= roughly copies simple curved shapes without prompts</t>
      </text>
    </comment>
    <comment authorId="0" ref="G175">
      <text>
        <t xml:space="preserve">======
ID#AAAA82QhTcs
Ester Casarez    (2023-12-04 19:48:24)
3= roughly copies complex curved lines</t>
      </text>
    </comment>
    <comment authorId="0" ref="H175">
      <text>
        <t xml:space="preserve">======
ID#AAAA82QhTco
Ester Casarez    (2023-12-04 19:48:07)
4= Neatly copies curved lines and shapes (matching size shape and orientation)</t>
      </text>
    </comment>
    <comment authorId="0" ref="I175">
      <text>
        <t xml:space="preserve">======
ID#AAAA82QhTck
Ester Casarez    (2023-12-04 19:47:46)
Student will be able to copy simple curved lines.</t>
      </text>
    </comment>
    <comment authorId="0" ref="N46">
      <text>
        <t xml:space="preserve">======
ID#AAAA82QhTcg
Deleted user    (2023-12-04 19:42:59)
4 = 4 puzzles with 5 pieces</t>
      </text>
    </comment>
    <comment authorId="0" ref="M46">
      <text>
        <t xml:space="preserve">======
ID#AAAA82QhTcc
Deleted user    (2023-12-04 19:42:52)
3 = 4 puzzles with 4 pieces</t>
      </text>
    </comment>
    <comment authorId="0" ref="L46">
      <text>
        <t xml:space="preserve">======
ID#AAAA82QhTcY
Deleted user    (2023-12-04 19:42:14)
2 = 2 puzzles with 3 pieces</t>
      </text>
    </comment>
    <comment authorId="0" ref="K46">
      <text>
        <t xml:space="preserve">======
ID#AAAA82QhTcU
Deleted user    (2023-12-04 19:41:58)
1 = 1 puzzle with at least 3 pieces</t>
      </text>
    </comment>
    <comment authorId="0" ref="O46">
      <text>
        <t xml:space="preserve">======
ID#AAAA82QhTcQ
Deleted user    (2023-12-04 19:41:46)
When given irregularly-shaped, non-interlocking puzzle pieces, student will correctly juxtapose the pieces to form a picture.</t>
      </text>
    </comment>
    <comment authorId="0" ref="N47">
      <text>
        <t xml:space="preserve">======
ID#AAAA82QhTcM
Deleted user    (2023-12-04 19:39:16)
4 = can match sequence of 8 pieces comprised of 4 different items when given extra pieces</t>
      </text>
    </comment>
    <comment authorId="0" ref="M47">
      <text>
        <t xml:space="preserve">======
ID#AAAA82QhTcI
Deleted user    (2023-12-04 19:38:58)
3 = 8 pieces of 4 items with no extras</t>
      </text>
    </comment>
    <comment authorId="0" ref="L47">
      <text>
        <t xml:space="preserve">======
ID#AAAA82QhTcE
Deleted user    (2023-12-04 19:38:45)
2 = 6 pieces of three items with on extras</t>
      </text>
    </comment>
    <comment authorId="0" ref="K47">
      <text>
        <t xml:space="preserve">======
ID#AAAA82QhTcA
Deleted user    (2023-12-04 19:38:35)
1 = 6 pieces of two items with no extras</t>
      </text>
    </comment>
    <comment authorId="0" ref="O47">
      <text>
        <t xml:space="preserve">======
ID#AAAA82QhTb8
Deleted user    (2023-12-04 19:38:24)
When given a visual sequence pattern consisting of items (e.g., colored blocks) the student will arrange items to match the pattern.</t>
      </text>
    </comment>
    <comment authorId="0" ref="N48">
      <text>
        <t xml:space="preserve">======
ID#AAAA82QhTb4
Deleted user    (2023-12-04 19:29:29)
4 = can quickly complete designs with 6 or more pieces (some extra blocks)</t>
      </text>
    </comment>
    <comment authorId="0" ref="M48">
      <text>
        <t xml:space="preserve">======
ID#AAAA82QhTb0
Deleted user    (2023-12-04 19:29:04)
3 = 4 or more parts (extras)</t>
      </text>
    </comment>
    <comment authorId="0" ref="L48">
      <text>
        <t xml:space="preserve">======
ID#AAAA82QhTbw
Deleted user    (2023-12-04 19:28:49)
2 = can do up to 4 pieces (no extras)</t>
      </text>
    </comment>
    <comment authorId="0" ref="K48">
      <text>
        <t xml:space="preserve">======
ID#AAAA82QhTbs
Deleted user    (2023-12-04 19:27:49)
1 = can do designs using 2 blocks (no extra blocks)</t>
      </text>
    </comment>
    <comment authorId="0" ref="O48">
      <text>
        <t xml:space="preserve">======
ID#AAAA82QhTbo
Deleted user    (2023-12-04 19:25:35)
When given a block design card, student will place blocks to make the design shown on the card.</t>
      </text>
    </comment>
    <comment authorId="0" ref="E176">
      <text>
        <t xml:space="preserve">======
ID#AAABB1Sc6Qg
Ester Casarez    (2023-12-04 18:11:57)
1= roughly copies simple straight lines with minimal physical or visual prompts</t>
      </text>
    </comment>
    <comment authorId="0" ref="F176">
      <text>
        <t xml:space="preserve">======
ID#AAABB1Sc6Qc
Ester Casarez    (2023-12-04 18:11:38)
2= roughly copies straight lines without prompts</t>
      </text>
    </comment>
    <comment authorId="0" ref="G176">
      <text>
        <t xml:space="preserve">======
ID#AAABB1Sc6QY
Ester Casarez    (2023-12-04 18:11:18)
3= roughly copies straight lines and shapes</t>
      </text>
    </comment>
    <comment authorId="0" ref="H176">
      <text>
        <t xml:space="preserve">======
ID#AAABB1Sc6QU
Ester Casarez    (2023-12-04 18:10:54)
4= Neatly copies straight lines and shapes (matching size and orientation)</t>
      </text>
    </comment>
    <comment authorId="0" ref="I176">
      <text>
        <t xml:space="preserve">======
ID#AAABB1Sc6QQ
Ester Casarez    (2023-12-04 18:09:40)
Student will be able to copy simple straight lines.</t>
      </text>
    </comment>
    <comment authorId="0" ref="E177">
      <text>
        <t xml:space="preserve">======
ID#AAABB1Sc6QM
Ester Casarez    (2023-12-04 18:05:04)
1= accurately traces numbers and letters that only require making straight lines (e.g. A E F 1 4 7)</t>
      </text>
    </comment>
    <comment authorId="0" ref="G177">
      <text>
        <t xml:space="preserve">======
ID#AAABB1Sc6QI
Ester Casarez    (2023-12-04 18:04:41)
2= accurately traces all numbers and letters staying within 1/8 to 1/4 inch of the sample</t>
      </text>
    </comment>
    <comment authorId="0" ref="I177">
      <text>
        <t xml:space="preserve">======
ID#AAABB1Sc6QE
Ester Casarez    (2023-12-04 18:04:21)
Student will be able to trace letters and numbers.</t>
      </text>
    </comment>
    <comment authorId="0" ref="E178">
      <text>
        <t xml:space="preserve">======
ID#AAABB1Sc6QA
Ester Casarez    (2023-12-04 18:04:01)
1= accurately traces straight lines</t>
      </text>
    </comment>
    <comment authorId="0" ref="F178">
      <text>
        <t xml:space="preserve">======
ID#AAABB1Sc6P8
Ester Casarez    (2023-12-04 18:03:41)
2= accurately traces straight and curved lines</t>
      </text>
    </comment>
    <comment authorId="0" ref="G178">
      <text>
        <t xml:space="preserve">======
ID#AAABB1Sc6P4
Ester Casarez    (2023-12-04 18:03:24)
3= accurately traces curved figures (circles and ovals) OR straight-lined figures (squares rectangles and triangles) within 1/8 to 1/4 inch of the sample</t>
      </text>
    </comment>
    <comment authorId="0" ref="H178">
      <text>
        <t xml:space="preserve">======
ID#AAABB1Sc6P0
Ester Casarez    (2023-12-04 18:03:06)
4= accurately traces lines and curved and straight-lined shapes</t>
      </text>
    </comment>
    <comment authorId="0" ref="I178">
      <text>
        <t xml:space="preserve">======
ID#AAABB1Sc6Pw
Ester Casarez    (2023-12-04 18:02:49)
Student will be able to trace lines and shapes.</t>
      </text>
    </comment>
    <comment authorId="0" ref="G179">
      <text>
        <t xml:space="preserve">======
ID#AAABB1Sc6Ps
Ester Casarez    (2023-12-04 18:02:27)
2= can neatly color pictures staying mainly within the lines of various shapes (approximately 2 square inches or less)</t>
      </text>
    </comment>
    <comment authorId="0" ref="E179">
      <text>
        <t xml:space="preserve">======
ID#AAABB1Sc6Po
Ester Casarez    (2023-12-04 18:02:09)
1= can neatly color within boundaries of single large shapes (approximately 4 square inches or less)</t>
      </text>
    </comment>
    <comment authorId="0" ref="I179">
      <text>
        <t xml:space="preserve">======
ID#AAABB1Sc6Pk
Ester Casarez    (2023-12-04 18:01:23)
Student will be able to color within lined areas.</t>
      </text>
    </comment>
    <comment authorId="0" ref="G180">
      <text>
        <t xml:space="preserve">======
ID#AAABB1Sc6Pg
Ester Casarez    (2023-12-04 17:38:55)
2= can hold pencil crayon or marker with a writing grip and make lines on paper</t>
      </text>
    </comment>
    <comment authorId="0" ref="E180">
      <text>
        <t xml:space="preserve">======
ID#AAABB1Sc6Pc
Ester Casarez    (2023-12-04 17:38:36)
1= using a pencil crayon or marker (any grip) can make short lines on paper</t>
      </text>
    </comment>
    <comment authorId="0" ref="I180">
      <text>
        <t xml:space="preserve">======
ID#AAABB1Sc6PY
Ester Casarez    (2023-12-04 17:38:14)
Student will be able to make marks on paper.</t>
      </text>
    </comment>
    <comment authorId="0" ref="K174">
      <text>
        <t xml:space="preserve">======
ID#AAABB1Sc6PU
Ester Casarez    (2023-12-04 17:36:40)
1= can spell her own name either vocally or in writing or a typed form</t>
      </text>
    </comment>
    <comment authorId="0" ref="M174">
      <text>
        <t xml:space="preserve">======
ID#AAABB1Sc6PQ
Ester Casarez    (2023-12-04 17:36:28)
2= can spell her own name both vocally and in a writing or a typed form</t>
      </text>
    </comment>
    <comment authorId="0" ref="O174">
      <text>
        <t xml:space="preserve">======
ID#AAABB1Sc6PM
Ester Casarez    (2023-12-04 17:36:14)
Student will be able to spell her own name both vocally and by writing or typing.</t>
      </text>
    </comment>
    <comment authorId="0" ref="K175">
      <text>
        <t xml:space="preserve">======
ID#AAABB1Sc6PI
Ester Casarez    (2023-12-04 17:35:47)
1= 2 words</t>
      </text>
    </comment>
    <comment authorId="0" ref="L175">
      <text>
        <t xml:space="preserve">======
ID#AAABB1Sc6PE
Ester Casarez    (2023-12-04 17:35:35)
2= 5 words</t>
      </text>
    </comment>
    <comment authorId="0" ref="M175">
      <text>
        <t xml:space="preserve">======
ID#AAABB1Sc6PA
Ester Casarez    (2023-12-04 17:35:23)
3= 10 words</t>
      </text>
    </comment>
    <comment authorId="0" ref="N175">
      <text>
        <t xml:space="preserve">======
ID#AAABB1Sc6O8
Ester Casarez    (2023-12-04 17:35:12)
4= 25 words</t>
      </text>
    </comment>
    <comment authorId="0" ref="O175">
      <text>
        <t xml:space="preserve">======
ID#AAABB1Sc6O4
Ester Casarez    (2023-12-04 17:34:58)
Student will be able to write or type dictated words.</t>
      </text>
    </comment>
    <comment authorId="0" ref="K176">
      <text>
        <t xml:space="preserve">======
ID#AAABB1Sc6O0
Ester Casarez    (2023-12-04 17:34:30)
1= 2 words</t>
      </text>
    </comment>
    <comment authorId="0" ref="L176">
      <text>
        <t xml:space="preserve">======
ID#AAABB1Sc6Ow
Ester Casarez    (2023-12-04 17:34:19)
2= 5 words</t>
      </text>
    </comment>
    <comment authorId="0" ref="M176">
      <text>
        <t xml:space="preserve">======
ID#AAABB1Sc6Os
Ester Casarez    (2023-12-04 17:34:08)
3= 10 words</t>
      </text>
    </comment>
    <comment authorId="0" ref="N176">
      <text>
        <t xml:space="preserve">======
ID#AAABB1Sc6Oo
Ester Casarez    (2023-12-04 17:33:57)
4= 25 words</t>
      </text>
    </comment>
    <comment authorId="0" ref="O176">
      <text>
        <t xml:space="preserve">======
ID#AAABB1Sc6Ok
Ester Casarez    (2023-12-04 17:33:43)
Student will be able to spell words vocally.</t>
      </text>
    </comment>
    <comment authorId="0" ref="K177">
      <text>
        <t xml:space="preserve">======
ID#AAABB1Sc6Og
Ester Casarez    (2023-12-04 17:33:20)
1= can add a letter at least one position of the word for at least 5 words</t>
      </text>
    </comment>
    <comment authorId="0" ref="M177">
      <text>
        <t xml:space="preserve">======
ID#AAABB1Sc6Oc
Ester Casarez    (2023-12-04 17:33:03)
2= can add a letter in any position of the word for at least 10 words</t>
      </text>
    </comment>
    <comment authorId="0" ref="O177">
      <text>
        <t xml:space="preserve">======
ID#AAABB1Sc6OY
Ester Casarez    (2023-12-04 17:32:43)
Given a picture of an object and two of three letters provided, Student will be able to write in the missing letter to complete three-letter words.</t>
      </text>
    </comment>
    <comment authorId="0" ref="K178">
      <text>
        <t xml:space="preserve">======
ID#AAABB1Sc6OU
Ester Casarez    (2023-12-04 17:32:21)
1= can copy three-letter words</t>
      </text>
    </comment>
    <comment authorId="0" ref="M178">
      <text>
        <t xml:space="preserve">======
ID#AAABB1Sc6OQ
Ester Casarez    (2023-12-04 17:32:06)
2= can accurately copy six-letter words by typing or by writing (within lines with upper- and lower-case letters &amp; with appropriate spacing)</t>
      </text>
    </comment>
    <comment authorId="0" ref="O178">
      <text>
        <t xml:space="preserve">======
ID#AAABB1Sc6OM
Ester Casarez    (2023-12-04 17:31:55)
Student will be able to copy 6 letter words by writing or typing.</t>
      </text>
    </comment>
    <comment authorId="0" ref="K179">
      <text>
        <t xml:space="preserve">======
ID#AAABB1Sc6OI
Ester Casarez    (2023-12-04 17:30:48)
1= can add a letter at least one position of the word for at least 5 words</t>
      </text>
    </comment>
    <comment authorId="0" ref="M179">
      <text>
        <t xml:space="preserve">======
ID#AAABB1Sc6OE
Ester Casarez    (2023-12-04 17:30:33)
2= can add a letter in any position of the word for at least 10 words</t>
      </text>
    </comment>
    <comment authorId="0" ref="O179">
      <text>
        <t xml:space="preserve">======
ID#AAABB1Sc6OA
Ester Casarez    (2023-12-04 17:30:17)
Given a picture of an object and two of three letters provided, Student will be able to add a small letter card to complete three-letter words.</t>
      </text>
    </comment>
    <comment authorId="0" ref="K180">
      <text>
        <t xml:space="preserve">======
ID#AAABB1Sc6N8
Ester Casarez    (2023-12-04 17:25:49)
1= can match letters for words up to 3 letters in length when not given extra letters and the letters are not similar (e.g. bat)</t>
      </text>
    </comment>
    <comment authorId="0" ref="M180">
      <text>
        <t xml:space="preserve">======
ID#AAABB1Sc6N4
Ester Casarez    (2023-12-04 17:25:33)
2= can match letters for words up to 5 letters in length when given extra letters some of which are similar (e.g. e &amp; a)</t>
      </text>
    </comment>
    <comment authorId="0" ref="O180">
      <text>
        <t xml:space="preserve">======
ID#AAABB1QlMcs
Ester Casarez    (2023-12-04 17:25:10)
Student will be able to match individual letters to the letters on cards with single 5-letter words.</t>
      </text>
    </comment>
    <comment authorId="0" ref="Q166">
      <text>
        <t xml:space="preserve">======
ID#AAABB1QlMcI
Ester Casarez    (2023-12-04 16:43:20)
1= can do at least one step in the shoe-tying process</t>
      </text>
    </comment>
    <comment authorId="0" ref="T166">
      <text>
        <t xml:space="preserve">======
ID#AAABB1QlMcE
Ester Casarez    (2023-12-04 16:43:03)
2= can tie shoes without assistance</t>
      </text>
    </comment>
    <comment authorId="0" ref="U166">
      <text>
        <t xml:space="preserve">======
ID#AAABB1QlMcA
Ester Casarez    (2023-12-04 16:42:47)
Student will be able to tie her shoes without assistance.</t>
      </text>
    </comment>
    <comment authorId="0" ref="Q167">
      <text>
        <t xml:space="preserve">======
ID#AAABB1QlMb8
Ester Casarez    (2023-12-04 16:42:15)
1= can adjust the positioning of clothing when verbally prompted</t>
      </text>
    </comment>
    <comment authorId="0" ref="S167">
      <text>
        <t xml:space="preserve">======
ID#AAABB1QlMb4
Ester Casarez    (2023-12-04 16:41:58)
2= adjusts the positioning of clothing without prompts</t>
      </text>
    </comment>
    <comment authorId="0" ref="U167">
      <text>
        <t xml:space="preserve">======
ID#AAABB1QlMb0
Ester Casarez    (2023-12-04 16:41:35)
Student will be able to adjust clothing when needed?</t>
      </text>
    </comment>
    <comment authorId="0" ref="Q168">
      <text>
        <t xml:space="preserve">======
ID#AAABB1QlMbw
Ester Casarez    (2023-12-04 16:40:33)
1= can fasten and unfasten buckles on a non-clothing item</t>
      </text>
    </comment>
    <comment authorId="0" ref="T168">
      <text>
        <t xml:space="preserve">======
ID#AAABB1QlMbs
Ester Casarez    (2023-12-04 16:40:07)
2= can fasten and unfasten buckles on an article of clothing</t>
      </text>
    </comment>
    <comment authorId="0" ref="U168">
      <text>
        <t xml:space="preserve">======
ID#AAABB1QlMbo
Ester Casarez    (2023-12-04 16:39:44)
Student will be able to undo and fasten belts without assistance.</t>
      </text>
    </comment>
    <comment authorId="0" ref="Q169">
      <text>
        <t xml:space="preserve">======
ID#AAABB1QlMbk
Ester Casarez    (2023-12-04 16:38:49)
1= can fasten and unfasten snaps on a non-clothing item</t>
      </text>
    </comment>
    <comment authorId="0" ref="S169">
      <text>
        <t xml:space="preserve">======
ID#AAABB1QlMbg
Ester Casarez    (2023-12-04 16:38:32)
2= can fasten and unfasten snaps on an article of clothing</t>
      </text>
    </comment>
    <comment authorId="0" ref="U169">
      <text>
        <t xml:space="preserve">======
ID#AAABB1QlMbc
Ester Casarez    (2023-12-04 16:38:12)
Student will be able to undo and fasten snaps on clothing without assistance.</t>
      </text>
    </comment>
    <comment authorId="0" ref="Q170">
      <text>
        <t xml:space="preserve">======
ID#AAABB1QlMbY
Ester Casarez    (2023-12-04 16:29:42)
1= can undo large buttons on a non-clothing item</t>
      </text>
    </comment>
    <comment authorId="0" ref="R170">
      <text>
        <t xml:space="preserve">======
ID#AAABB1QlMbU
Ester Casarez    (2023-12-04 16:29:26)
2= can undo small buttons on a shirt</t>
      </text>
    </comment>
    <comment authorId="0" ref="S170">
      <text>
        <t xml:space="preserve">======
ID#AAABB1QlMbQ
Ester Casarez    (2023-12-04 16:28:54)
3= can fasten large buttons on a non-clothing item</t>
      </text>
    </comment>
    <comment authorId="0" ref="T170">
      <text>
        <t xml:space="preserve">======
ID#AAABB1QlMbM
Ester Casarez    (2023-12-04 16:28:19)
4= can fasten buttons on a shirt</t>
      </text>
    </comment>
    <comment authorId="0" ref="U170">
      <text>
        <t xml:space="preserve">======
ID#AAABB1QlMas
Ester Casarez    (2023-12-04 16:18:36)
Student will be able to fasten buttons on her clothing without assistance.</t>
      </text>
    </comment>
    <comment authorId="0" ref="Q171">
      <text>
        <t xml:space="preserve">======
ID#AAABB1QlMao
Ester Casarez    (2023-12-04 16:18:03)
1= close a zipper which is started on an article of clothing</t>
      </text>
    </comment>
    <comment authorId="0" ref="S171">
      <text>
        <t xml:space="preserve">======
ID#AAABB1QlMak
Ester Casarez    (2023-12-04 16:17:45)
2= can start and zip and unzip a zipper on an article of clothing</t>
      </text>
    </comment>
    <comment authorId="0" ref="U171">
      <text>
        <t xml:space="preserve">======
ID#AAABB1QlMag
Ester Casarez    (2023-12-04 16:17:31)
Student will be able to zip and unzip zippers on clothing without assistance.</t>
      </text>
    </comment>
    <comment authorId="0" ref="Q172">
      <text>
        <t xml:space="preserve">======
ID#AAABB1QlMac
Ester Casarez    (2023-12-04 16:16:58)
1= fasten a zipper which is started on a backpack or similar item with only verbal or gestural prompts</t>
      </text>
    </comment>
    <comment authorId="0" ref="S172">
      <text>
        <t xml:space="preserve">======
ID#AAABB1QlMaY
Ester Casarez    (2023-12-04 16:16:36)
2= can independently start and zip and unzip a zipper on a backpack or similar item</t>
      </text>
    </comment>
    <comment authorId="0" ref="U172">
      <text>
        <t xml:space="preserve">======
ID#AAABB1QlMaU
Ester Casarez    (2023-12-04 16:16:23)
Student will be able to fasten zippers on a backpack or similar items without assistance.</t>
      </text>
    </comment>
    <comment authorId="0" ref="Q173">
      <text>
        <t xml:space="preserve">======
ID#AAABB1QWA-I
Ester Casarez    (2023-12-04 16:15:46)
1= can unzip a zipper which is started on an article of clothing a backpack or similar item with only verbal or gestural prompts</t>
      </text>
    </comment>
    <comment authorId="0" ref="S173">
      <text>
        <t xml:space="preserve">======
ID#AAABB1QWA-E
Ester Casarez    (2023-12-04 16:15:31)
2= can independently unzip a zipper on an article of clothing backpack or similar item</t>
      </text>
    </comment>
    <comment authorId="0" ref="U173">
      <text>
        <t xml:space="preserve">======
ID#AAABB1QWA-A
Ester Casarez    (2023-12-04 16:15:09)
Student will be able to unzip zippers on clothing, backpack or similar items without assistance.</t>
      </text>
    </comment>
    <comment authorId="0" ref="Q174">
      <text>
        <t xml:space="preserve">======
ID#AAABB1QWA98
Ester Casarez    (2023-12-04 16:14:41)
1= can either remove or put on coat</t>
      </text>
    </comment>
    <comment authorId="0" ref="S174">
      <text>
        <t xml:space="preserve">======
ID#AAABB1QWA94
Ester Casarez    (2023-12-04 16:14:23)
2= can remove (requires unfastening buttons or snaps or unzipping) and correctly put on coat (fastening buttons snaps and zippers not required)</t>
      </text>
    </comment>
    <comment authorId="0" ref="U174">
      <text>
        <t xml:space="preserve">======
ID#AAABB1QWA90
Ester Casarez    (2023-12-04 16:14:05)
Student will be able to put on (fastening buttons, snaps and zippers not required) and remove her coat (requires unfastening buttons or snaps, or unzipping) without assistance.</t>
      </text>
    </comment>
    <comment authorId="0" ref="U175">
      <text>
        <t xml:space="preserve">======
ID#AAABB1QWA9w
Ester Casarez    (2023-12-04 16:13:09)
Student will be able to put on and remove her socks without assistance.</t>
      </text>
    </comment>
    <comment authorId="0" ref="S175">
      <text>
        <t xml:space="preserve">======
ID#AAABB1QWA9s
Ester Casarez    (2023-12-04 16:12:57)
2= can remove and correctly put on socks</t>
      </text>
    </comment>
    <comment authorId="0" ref="Q175">
      <text>
        <t xml:space="preserve">======
ID#AAABB1QWA9o
Ester Casarez    (2023-12-04 16:12:43)
1= can either remove or put on socks</t>
      </text>
    </comment>
    <comment authorId="0" ref="Q176">
      <text>
        <t xml:space="preserve">======
ID#AAABB1QWA9k
Ester Casarez    (2023-12-04 16:11:26)
1= can either remove or put on pants</t>
      </text>
    </comment>
    <comment authorId="0" ref="S176">
      <text>
        <t xml:space="preserve">======
ID#AAABB1QWA9g
Ester Casarez    (2023-12-04 16:11:08)
2= can remove and correctly put on (fastening buttons snaps and zippers not required) pants</t>
      </text>
    </comment>
    <comment authorId="0" ref="U176">
      <text>
        <t xml:space="preserve">======
ID#AAABB1QWA9c
Ester Casarez    (2023-12-04 16:10:55)
Student will be able to put on (fastening buttons, snaps and zippers not required) and remove her pants without assistance.</t>
      </text>
    </comment>
    <comment authorId="0" ref="Q177">
      <text>
        <t xml:space="preserve">======
ID#AAABB1QWA9Y
Ester Casarez    (2023-12-04 16:09:53)
1= can either remove or put on buttoning shirts</t>
      </text>
    </comment>
    <comment authorId="0" ref="S177">
      <text>
        <t xml:space="preserve">======
ID#AAABB1QWA9U
Ester Casarez    (2023-12-04 16:09:32)
2= can remove and correctly put on a buttoning type of shirts (fastening buttons not required)</t>
      </text>
    </comment>
    <comment authorId="0" ref="U177">
      <text>
        <t xml:space="preserve">======
ID#AAABB1QWA9Q
Ester Casarez    (2023-12-04 16:09:20)
Student will be able to put on (fastening buttons not required) and remove buttoning types of shirts without assistance.</t>
      </text>
    </comment>
    <comment authorId="0" ref="U178">
      <text>
        <t xml:space="preserve">======
ID#AAABB1QWA9M
Ester Casarez    (2023-12-04 16:08:14)
Student will be able to put on and remove pullover shirts without assistance.</t>
      </text>
    </comment>
    <comment authorId="0" ref="S178">
      <text>
        <t xml:space="preserve">======
ID#AAABB1QWA9I
Ester Casarez    (2023-12-04 16:08:00)
2= can remove and correctly put on a pullover shirt</t>
      </text>
    </comment>
    <comment authorId="0" ref="Q178">
      <text>
        <t xml:space="preserve">======
ID#AAABB1QWA9E
Ester Casarez    (2023-12-04 16:07:33)
1= can either remove or put on shirt</t>
      </text>
    </comment>
    <comment authorId="0" ref="U179">
      <text>
        <t xml:space="preserve">======
ID#AAABB1QWA9A
Ester Casarez    (2023-12-04 16:06:56)
Student will be able to put on (tying laces not required) and remove her shoes without assistance.</t>
      </text>
    </comment>
    <comment authorId="0" ref="S179">
      <text>
        <t xml:space="preserve">======
ID#AAABB1QWA88
Ester Casarez    (2023-12-04 16:06:41)
2= can remove and correctly put on shoes (not required to tie shoes)</t>
      </text>
    </comment>
    <comment authorId="0" ref="Q179">
      <text>
        <t xml:space="preserve">======
ID#AAABB1QWA84
Ester Casarez    (2023-12-04 16:06:26)
1= can either remove or put on shoes</t>
      </text>
    </comment>
    <comment authorId="0" ref="U180">
      <text>
        <t xml:space="preserve">======
ID#AAABB1QWA80
Ester Casarez    (2023-12-04 16:05:04)
Student will be able to pull up and down her pants without assistance for toileting.</t>
      </text>
    </comment>
    <comment authorId="0" ref="S180">
      <text>
        <t xml:space="preserve">======
ID#AAABB1QWA8w
Ester Casarez    (2023-12-04 16:04:40)
2= can both pull up and down pants</t>
      </text>
    </comment>
    <comment authorId="0" ref="Q180">
      <text>
        <t xml:space="preserve">======
ID#AAABB1QWA8s
Ester Casarez    (2023-12-04 16:04:26)
1= can either pull up or down pants</t>
      </text>
    </comment>
    <comment authorId="0" ref="AA171">
      <text>
        <t xml:space="preserve">======
ID#AAABB1QWA8o
Ester Casarez    (2023-12-04 16:01:43)
Student will be able to keep immediate table area clean while eating.</t>
      </text>
    </comment>
    <comment authorId="0" ref="AA172">
      <text>
        <t xml:space="preserve">======
ID#AAABB1QJ3QU
Ester Casarez    (2023-12-04 16:01:28)
Student will be able to clean up table after lunch without assistance.</t>
      </text>
    </comment>
    <comment authorId="0" ref="AA173">
      <text>
        <t xml:space="preserve">======
ID#AAABB1QJ3QQ
Ester Casarez    (2023-12-04 16:01:10)
Student will be able to get a prepared lunch and take to table without physical prompts nor assistance.</t>
      </text>
    </comment>
    <comment authorId="0" ref="AA174">
      <text>
        <t xml:space="preserve">======
ID#AAABB1QJ3QM
Ester Casarez    (2023-12-04 16:00:38)
Student will be able to cut her own food with a knife.</t>
      </text>
    </comment>
    <comment authorId="0" ref="AA175">
      <text>
        <t xml:space="preserve">======
ID#AAABB1QJ3QI
Ester Casarez    (2023-12-04 16:00:03)
Student will be able to pour liquid from a pitcher into a cup without spilling.</t>
      </text>
    </comment>
    <comment authorId="0" ref="AA176">
      <text>
        <t xml:space="preserve">======
ID#AAABB1QJ3QE
Ester Casarez    (2023-12-04 15:59:44)
Student will be able to spread with a knife</t>
      </text>
    </comment>
    <comment authorId="0" ref="AA177">
      <text>
        <t xml:space="preserve">======
ID#AAABB1QJ3QA
Ester Casarez    (2023-12-04 15:59:25)
Student will be able to feed self with a spoon and fork when given cut food.</t>
      </text>
    </comment>
    <comment authorId="0" ref="AA178">
      <text>
        <t xml:space="preserve">======
ID#AAABB1QJ3P8
Ester Casarez    (2023-12-04 15:59:05)
Student will be able to drink from a cup without spilling.</t>
      </text>
    </comment>
    <comment authorId="0" ref="AA179">
      <text>
        <t xml:space="preserve">======
ID#AAABB1QJ3P4
Ester Casarez    (2023-12-04 15:58:47)
Student will be able to drink from a straw.</t>
      </text>
    </comment>
    <comment authorId="0" ref="AA180">
      <text>
        <t xml:space="preserve">======
ID#AAABB1QJ3P0
Ester Casarez    (2023-12-04 15:58:31)
Student will be able to eat food using fingers.</t>
      </text>
    </comment>
    <comment authorId="0" ref="Y171">
      <text>
        <t xml:space="preserve">======
ID#AAABB1QJ3Pw
Ester Casarez    (2023-12-04 15:58:09)
2= Independently</t>
      </text>
    </comment>
    <comment authorId="0" ref="Y172">
      <text>
        <t xml:space="preserve">======
ID#AAABB1QJ3Ps
Ester Casarez    (2023-12-04 15:58:05)
2= Independently</t>
      </text>
    </comment>
    <comment authorId="0" ref="Y173">
      <text>
        <t xml:space="preserve">======
ID#AAABB1QJ3Po
Ester Casarez    (2023-12-04 15:58:00)
2= Independently</t>
      </text>
    </comment>
    <comment authorId="0" ref="Y174">
      <text>
        <t xml:space="preserve">======
ID#AAABB1QJ3Pk
Ester Casarez    (2023-12-04 15:57:55)
2= Independently</t>
      </text>
    </comment>
    <comment authorId="0" ref="Y175">
      <text>
        <t xml:space="preserve">======
ID#AAABB1QJ3Pg
Ester Casarez    (2023-12-04 15:57:48)
2= Independently</t>
      </text>
    </comment>
    <comment authorId="0" ref="Y176">
      <text>
        <t xml:space="preserve">======
ID#AAABB1QJ3Pc
Ester Casarez    (2023-12-04 15:57:43)
2= Independently</t>
      </text>
    </comment>
    <comment authorId="0" ref="Y177">
      <text>
        <t xml:space="preserve">======
ID#AAABB1QJ3PY
Ester Casarez    (2023-12-04 15:57:37)
2= Independently</t>
      </text>
    </comment>
    <comment authorId="0" ref="Y178">
      <text>
        <t xml:space="preserve">======
ID#AAABB1QJ3PU
Ester Casarez    (2023-12-04 15:57:32)
2= Independently</t>
      </text>
    </comment>
    <comment authorId="0" ref="Y179">
      <text>
        <t xml:space="preserve">======
ID#AAABB1QJ3PQ
Ester Casarez    (2023-12-04 15:57:25)
2= Independently</t>
      </text>
    </comment>
    <comment authorId="0" ref="Y180">
      <text>
        <t xml:space="preserve">======
ID#AAABB1QJ3PM
Ester Casarez    (2023-12-04 15:57:20)
2= Independently</t>
      </text>
    </comment>
    <comment authorId="0" ref="W171">
      <text>
        <t xml:space="preserve">======
ID#AAABB1QJ3PI
Ester Casarez    (2023-12-04 15:57:00)
1= with only verbal or gestural prompts</t>
      </text>
    </comment>
    <comment authorId="0" ref="W172">
      <text>
        <t xml:space="preserve">======
ID#AAABB1QJ3PE
Ester Casarez    (2023-12-04 15:56:55)
1= with only verbal or gestural prompts</t>
      </text>
    </comment>
    <comment authorId="0" ref="W173">
      <text>
        <t xml:space="preserve">======
ID#AAABB1QJ3PA
Ester Casarez    (2023-12-04 15:56:49)
1= with only verbal or gestural prompts</t>
      </text>
    </comment>
    <comment authorId="0" ref="W174">
      <text>
        <t xml:space="preserve">======
ID#AAABB1QJ3O8
Ester Casarez    (2023-12-04 15:56:44)
1= with only verbal or gestural prompts</t>
      </text>
    </comment>
    <comment authorId="0" ref="W175">
      <text>
        <t xml:space="preserve">======
ID#AAABB1QJ3O4
Ester Casarez    (2023-12-04 15:56:39)
1= with only verbal or gestural prompts</t>
      </text>
    </comment>
    <comment authorId="0" ref="W176">
      <text>
        <t xml:space="preserve">======
ID#AAABB1QJ3O0
Ester Casarez    (2023-12-04 15:56:33)
1= with only verbal or gestural prompts</t>
      </text>
    </comment>
    <comment authorId="0" ref="W177">
      <text>
        <t xml:space="preserve">======
ID#AAABB1QJ3Ow
Ester Casarez    (2023-12-04 15:56:27)
1= with only verbal or gestural prompts</t>
      </text>
    </comment>
    <comment authorId="0" ref="W178">
      <text>
        <t xml:space="preserve">======
ID#AAABB1QJ3Os
Ester Casarez    (2023-12-04 15:56:20)
1= with only verbal or gestural prompts</t>
      </text>
    </comment>
    <comment authorId="0" ref="W179">
      <text>
        <t xml:space="preserve">======
ID#AAABB1QJ3Oo
Ester Casarez    (2023-12-04 15:56:14)
1= with only verbal or gestural prompts</t>
      </text>
    </comment>
    <comment authorId="0" ref="W180">
      <text>
        <t xml:space="preserve">======
ID#AAABB04uNfM
Ester Casarez    (2023-12-04 15:56:05)
1= with only verbal or gestural prompts</t>
      </text>
    </comment>
    <comment authorId="0" ref="AG174">
      <text>
        <t xml:space="preserve">======
ID#AAABB04uNfI
Ester Casarez    (2023-12-04 15:52:44)
Student will be able to independently blow his/her nose as needed.</t>
      </text>
    </comment>
    <comment authorId="0" ref="AG175">
      <text>
        <t xml:space="preserve">======
ID#AAABB04uNfE
Ester Casarez    (2023-12-04 15:51:56)
Student will be able to brush his/her teeth using toothpaste without assistance.</t>
      </text>
    </comment>
    <comment authorId="0" ref="AG176">
      <text>
        <t xml:space="preserve">======
ID#AAABB04uNfA
Ester Casarez    (2023-12-04 15:51:31)
Student will be able to comb or brush his/her hair without assistance.</t>
      </text>
    </comment>
    <comment authorId="0" ref="AG177">
      <text>
        <t xml:space="preserve">======
ID#AAABB04uNe8
Ester Casarez    (2023-12-04 15:50:59)
Student will be able to dry his/her face without assistance.</t>
      </text>
    </comment>
    <comment authorId="0" ref="AG178">
      <text>
        <t xml:space="preserve">======
ID#AAABB04uNe4
Ester Casarez    (2023-12-04 15:50:36)
Student will be able to wash his/her face without assistance.</t>
      </text>
    </comment>
    <comment authorId="0" ref="AG179">
      <text>
        <t xml:space="preserve">======
ID#AAABB04uNe0
Ester Casarez    (2023-12-04 15:50:03)
Student will be able to dry his/her hands without assistance.</t>
      </text>
    </comment>
    <comment authorId="0" ref="AG180">
      <text>
        <t xml:space="preserve">======
ID#AAABB04uNew
Ester Casarez    (2023-12-04 15:49:16)
Student will be able to wash his/her hands without assistance.</t>
      </text>
    </comment>
    <comment authorId="0" ref="AE174">
      <text>
        <t xml:space="preserve">======
ID#AAABB04uNes
Ester Casarez    (2023-12-04 15:47:32)
2= Independently</t>
      </text>
    </comment>
    <comment authorId="0" ref="AE175">
      <text>
        <t xml:space="preserve">======
ID#AAABB04uNeo
Ester Casarez    (2023-12-04 15:47:26)
2= Independently</t>
      </text>
    </comment>
    <comment authorId="0" ref="AE176">
      <text>
        <t xml:space="preserve">======
ID#AAABB04uNek
Ester Casarez    (2023-12-04 15:47:20)
2= Independently</t>
      </text>
    </comment>
    <comment authorId="0" ref="AE177">
      <text>
        <t xml:space="preserve">======
ID#AAABB04uNeg
Ester Casarez    (2023-12-04 15:47:13)
2= Independently</t>
      </text>
    </comment>
    <comment authorId="0" ref="AE178">
      <text>
        <t xml:space="preserve">======
ID#AAABB04uNec
Ester Casarez    (2023-12-04 15:47:07)
2= Independently</t>
      </text>
    </comment>
    <comment authorId="0" ref="AE179">
      <text>
        <t xml:space="preserve">======
ID#AAABB04uNeY
Ester Casarez    (2023-12-04 15:47:03)
2= Independently</t>
      </text>
    </comment>
    <comment authorId="0" ref="AC174">
      <text>
        <t xml:space="preserve">======
ID#AAABB04uNeU
Ester Casarez    (2023-12-04 15:46:50)
1= with only verbal or gestural prompts</t>
      </text>
    </comment>
    <comment authorId="0" ref="AC175">
      <text>
        <t xml:space="preserve">======
ID#AAABB04uNeQ
Ester Casarez    (2023-12-04 15:46:43)
1= with only verbal or gestural prompts</t>
      </text>
    </comment>
    <comment authorId="0" ref="AC176">
      <text>
        <t xml:space="preserve">======
ID#AAABB04uNeM
Ester Casarez    (2023-12-04 15:46:35)
1= with only verbal or gestural prompts</t>
      </text>
    </comment>
    <comment authorId="0" ref="AC177">
      <text>
        <t xml:space="preserve">======
ID#AAABB04uNeI
Ester Casarez    (2023-12-04 15:46:27)
1= with only verbal or gestural prompts</t>
      </text>
    </comment>
    <comment authorId="0" ref="AC178">
      <text>
        <t xml:space="preserve">======
ID#AAABB04uNeE
Ester Casarez    (2023-12-04 15:46:17)
1= with only verbal or gestural prompts</t>
      </text>
    </comment>
    <comment authorId="0" ref="AC179">
      <text>
        <t xml:space="preserve">======
ID#AAABB04uNeA
Ester Casarez    (2023-12-04 15:46:06)
1= with only verbal or gestural prompts</t>
      </text>
    </comment>
    <comment authorId="0" ref="AE180">
      <text>
        <t xml:space="preserve">======
ID#AAABB04uNd8
Ester Casarez    (2023-12-04 15:45:20)
2= Independently</t>
      </text>
    </comment>
    <comment authorId="0" ref="AC180">
      <text>
        <t xml:space="preserve">======
ID#AAABB04uNd4
Ester Casarez    (2023-12-04 15:45:05)
1= with only verbal or gestural prompts</t>
      </text>
    </comment>
    <comment authorId="0" ref="AM171">
      <text>
        <t xml:space="preserve">======
ID#AAABB04uNdw
Ester Casarez    (2023-12-04 15:44:24)
Student will be able to independently use the toilet.</t>
      </text>
    </comment>
    <comment authorId="0" ref="AK171">
      <text>
        <t xml:space="preserve">======
ID#AAABB04uNds
Ester Casarez    (2023-12-04 15:44:09)
2= toileting process is totally completed independently</t>
      </text>
    </comment>
    <comment authorId="0" ref="AI171">
      <text>
        <t xml:space="preserve">======
ID#AAABB04uNdo
Ester Casarez    (2023-12-04 15:44:00)
1= has to be verbally prompted for some aspects of the process</t>
      </text>
    </comment>
    <comment authorId="0" ref="AM172">
      <text>
        <t xml:space="preserve">======
ID#AAABB04uNdk
Ester Casarez    (2023-12-04 15:43:41)
Student will be able to independently use a familiar restroom for bowel movements.</t>
      </text>
    </comment>
    <comment authorId="0" ref="AK172">
      <text>
        <t xml:space="preserve">======
ID#AAABB04uNdg
Ester Casarez    (2023-12-04 15:43:26)
2= toileting process is totally completed independently (including bowel movements)</t>
      </text>
    </comment>
    <comment authorId="0" ref="AI172">
      <text>
        <t xml:space="preserve">======
ID#AAABB04uNdc
Ester Casarez    (2023-12-04 15:43:18)
1= has to be verbally prompted for some aspects of the process</t>
      </text>
    </comment>
    <comment authorId="0" ref="AM173">
      <text>
        <t xml:space="preserve">======
ID#AAABB04uNdY
Ester Casarez    (2023-12-04 15:43:00)
Student will be able to wipe self after bowel movement.</t>
      </text>
    </comment>
    <comment authorId="0" ref="AK173">
      <text>
        <t xml:space="preserve">======
ID#AAABB04uNdU
Ester Casarez    (2023-12-04 15:42:46)
2= wipes self completely without assistance</t>
      </text>
    </comment>
    <comment authorId="0" ref="AI173">
      <text>
        <t xml:space="preserve">======
ID#AAABB04uNdQ
Ester Casarez    (2023-12-04 15:42:38)
1= wipes self but needs to be checked for completeness</t>
      </text>
    </comment>
    <comment authorId="0" ref="AM174">
      <text>
        <t xml:space="preserve">======
ID#AAABB04uNdM
Ester Casarez    (2023-12-04 15:42:19)
Student will not have more than 2 instances of soiled pants per week at home and school when taken to the toilet on a regular schedule.</t>
      </text>
    </comment>
    <comment authorId="0" ref="AK174">
      <text>
        <t xml:space="preserve">======
ID#AAABB04uNdI
Ester Casarez    (2023-12-04 15:42:00)
2= has no more than 2 soiled pants per week (home and school)</t>
      </text>
    </comment>
    <comment authorId="0" ref="AI174">
      <text>
        <t xml:space="preserve">======
ID#AAABB04uNdE
Ester Casarez    (2023-12-04 15:41:50)
1= has no more than 4 soiled pants per week</t>
      </text>
    </comment>
    <comment authorId="0" ref="AM175">
      <text>
        <t xml:space="preserve">======
ID#AAABB04uNdA
Ester Casarez    (2023-12-04 15:41:25)
Student will have at least two bowel movements in the toilet per week.</t>
      </text>
    </comment>
    <comment authorId="0" ref="AK175">
      <text>
        <t xml:space="preserve">======
ID#AAABB04uNc4
Ester Casarez    (2023-12-04 15:40:39)
2= at least 2 times per week</t>
      </text>
    </comment>
    <comment authorId="0" ref="AI175">
      <text>
        <t xml:space="preserve">======
ID#AAABB04uNc0
Ester Casarez    (2023-12-04 15:40:22)
1= has had at least 2 bowel movements in toilets</t>
      </text>
    </comment>
    <comment authorId="0" ref="AM176">
      <text>
        <t xml:space="preserve">======
ID#AAABB04uNcw
Ester Casarez    (2023-12-04 15:39:45)
Student (female) will be able to wipe self after urinating.</t>
      </text>
    </comment>
    <comment authorId="0" ref="AK176">
      <text>
        <t xml:space="preserve">======
ID#AAABB04uNcs
Ester Casarez    (2023-12-04 15:39:28)
2= wipes self completely without assistance</t>
      </text>
    </comment>
    <comment authorId="0" ref="AI176">
      <text>
        <t xml:space="preserve">======
ID#AAABB04uNco
Ester Casarez    (2023-12-04 15:39:17)
1= wipes self but requires some verbal prompts</t>
      </text>
    </comment>
    <comment authorId="0" ref="AM177">
      <text>
        <t xml:space="preserve">======
ID#AAABB04uNck
Ester Casarez    (2023-12-04 15:37:02)
Student will request to use the toilet as needed both in a familiar setting and when in public.</t>
      </text>
    </comment>
    <comment authorId="0" ref="AK177">
      <text>
        <t xml:space="preserve">======
ID#AAABB04uNcg
Ester Casarez    (2023-12-04 15:36:46)
2= uses words or ASL to indicate need to use the toilet as needed in public and familiar settings</t>
      </text>
    </comment>
    <comment authorId="0" ref="AI177">
      <text>
        <t xml:space="preserve">======
ID#AAABB04uNcc
Ester Casarez    (2023-12-04 15:36:32)
1= uses words or ASL to indicate need to use the toilet as needed in familiar setting</t>
      </text>
    </comment>
    <comment authorId="0" ref="AM178">
      <text>
        <t xml:space="preserve">======
ID#AAABB04uNcU
Ester Casarez    (2023-12-04 15:35:57)
Student will be able to independently use a familiar restroom for urination.</t>
      </text>
    </comment>
    <comment authorId="0" ref="AK178">
      <text>
        <t xml:space="preserve">======
ID#AAABB04uNcQ
Ester Casarez    (2023-12-04 15:35:20)
2= toileting process is totally completed independently</t>
      </text>
    </comment>
    <comment authorId="0" ref="AI178">
      <text>
        <t xml:space="preserve">======
ID#AAABB04uNcM
Ester Casarez    (2023-12-04 15:35:07)
1= has to be verbally prompted for some aspects of the process</t>
      </text>
    </comment>
    <comment authorId="0" ref="AM179">
      <text>
        <t xml:space="preserve">======
ID#AAABB04uNcI
Ester Casarez    (2023-12-04 15:34:34)
Student will remain dry throughout the day when taken to the toilet on a regular schedule.</t>
      </text>
    </comment>
    <comment authorId="0" ref="AL179">
      <text>
        <t xml:space="preserve">======
ID#AAABB04uNcE
Ester Casarez    (2023-12-04 15:34:05)
4= has no wet pants in any environment (home school nor community)</t>
      </text>
    </comment>
    <comment authorId="0" ref="AK179">
      <text>
        <t xml:space="preserve">======
ID#AAABB04uNcA
Ester Casarez    (2023-12-04 15:33:43)
3= has no more than 2 wet pants total per week for all environments combined</t>
      </text>
    </comment>
    <comment authorId="0" ref="AJ179">
      <text>
        <t xml:space="preserve">======
ID#AAABB04uNb8
Ester Casarez    (2023-12-04 15:33:21)
2= has no more than 2 wet pants per week in controlled environments (i.e. home and school)</t>
      </text>
    </comment>
    <comment authorId="0" ref="AI179">
      <text>
        <t xml:space="preserve">======
ID#AAABB04uNb4
Ester Casarez    (2023-12-04 15:32:54)
1= has no more than 4 wet pants per week</t>
      </text>
    </comment>
    <comment authorId="0" ref="AM180">
      <text>
        <t xml:space="preserve">======
ID#AAABB04uNb0
Ester Casarez    (2023-12-04 15:32:23)
Student will urinate in the toilet at least 2 times per day.</t>
      </text>
    </comment>
    <comment authorId="0" ref="AL180">
      <text>
        <t xml:space="preserve">======
ID#AAABB04uNbw
Ester Casarez    (2023-12-04 15:31:45)
4= urinates in toilet 2 or more times per day</t>
      </text>
    </comment>
    <comment authorId="0" ref="AK180">
      <text>
        <t xml:space="preserve">======
ID#AAABB04uNbs
Ester Casarez    (2023-12-04 15:30:58)
3= has urinated in the toilet at least 5 times per week</t>
      </text>
    </comment>
    <comment authorId="0" ref="AJ180">
      <text>
        <t xml:space="preserve">======
ID#AAABB04uNbo
Ester Casarez    (2023-12-04 15:30:16)
2= has urinated in the toilet at least 2 times per week</t>
      </text>
    </comment>
    <comment authorId="0" ref="AI180">
      <text>
        <t xml:space="preserve">======
ID#AAABB04uNbk
Ester Casarez    (2023-12-04 15:29:57)
1= has urinated in the toilet at least 2 times</t>
      </text>
    </comment>
    <comment authorId="0" ref="N49">
      <text>
        <t xml:space="preserve">======
ID#AAABBlV6rQA
Deleted user    (2023-12-01 16:28:06)
4 = 3 puzzles with 5 pieces</t>
      </text>
    </comment>
    <comment authorId="0" ref="M49">
      <text>
        <t xml:space="preserve">======
ID#AAABBlV6rP8
Deleted user    (2023-12-01 16:27:56)
3 = 3 puzzles with 4 pieces</t>
      </text>
    </comment>
    <comment authorId="0" ref="L49">
      <text>
        <t xml:space="preserve">======
ID#AAABBlV6rP4
Deleted user    (2023-12-01 16:27:47)
2 = 3 puzzles with 3 pieces</t>
      </text>
    </comment>
    <comment authorId="0" ref="K49">
      <text>
        <t xml:space="preserve">======
ID#AAABBlV6rP0
Deleted user    (2023-12-01 16:27:36)
1 = 3 puzzles with at least 2 pieces</t>
      </text>
    </comment>
    <comment authorId="0" ref="O49">
      <text>
        <t xml:space="preserve">======
ID#AAABBlV6rPw
Deleted user    (2023-12-01 16:27:23)
When given a square-edged framed puzzle, the student will complete the puzzle.</t>
      </text>
    </comment>
    <comment authorId="0" ref="N50">
      <text>
        <t xml:space="preserve">======
ID#AAABBlV6rPs
Deleted user    (2023-12-01 16:27:01)
4 = 4 puzzles with 8 pieces</t>
      </text>
    </comment>
    <comment authorId="0" ref="M50">
      <text>
        <t xml:space="preserve">======
ID#AAABBlV6rPo
Deleted user    (2023-12-01 16:26:49)
3 = 4 puzzles with 5 pieces</t>
      </text>
    </comment>
    <comment authorId="0" ref="L50">
      <text>
        <t xml:space="preserve">======
ID#AAABBlV6rPk
Deleted user    (2023-12-01 16:26:34)
2 = 2 puzzles with 5 pieces</t>
      </text>
    </comment>
    <comment authorId="0" ref="K50">
      <text>
        <t xml:space="preserve">======
ID#AAABBlV6rPg
Deleted user    (2023-12-01 16:26:18)
1 = 1 puzzle with at least 5 pieces</t>
      </text>
    </comment>
    <comment authorId="0" ref="O50">
      <text>
        <t xml:space="preserve">======
ID#AAABBlV6rPc
Deleted user    (2023-12-01 16:26:04)
When given uniquely-shaped, connecting puzzle pieces which fit into an irregularly shaped inset frame, the student will complete the puzzle.</t>
      </text>
    </comment>
    <comment authorId="0" ref="N51">
      <text>
        <t xml:space="preserve">======
ID#AAABBlV6rPY
Deleted user    (2023-12-01 16:23:36)
4 = can quickly complete designs with 6 or more blocks (some extras)</t>
      </text>
    </comment>
    <comment authorId="0" ref="M51">
      <text>
        <t xml:space="preserve">======
ID#AAABBlV6rPU
Deleted user    (2023-12-01 16:23:17)
3 = 4 or more blocks (some extras)</t>
      </text>
    </comment>
    <comment authorId="0" ref="L51">
      <text>
        <t xml:space="preserve">======
ID#AAABBlV6rPM
Deleted user    (2023-12-01 16:22:40)
2 = can do up to 4 blocks (no extras)</t>
      </text>
    </comment>
    <comment authorId="0" ref="K51">
      <text>
        <t xml:space="preserve">======
ID#AAABBlV6rPI
Deleted user    (2023-12-01 16:22:28)
1 = can do designs using 2 blocks (no extras)</t>
      </text>
    </comment>
    <comment authorId="0" ref="O51">
      <text>
        <t xml:space="preserve">======
ID#AAABBlV6rPE
Deleted user    (2023-12-01 16:22:15)
When given a block design card, student will place the blocks in the appropriate location on the design card disregarding extra blocks.</t>
      </text>
    </comment>
    <comment authorId="0" ref="N52">
      <text>
        <t xml:space="preserve">======
ID#AAABBlV6rPA
Deleted user    (2023-12-01 16:21:35)
4 = given 20 items (5 each of 4 items), can sort 10 or more types of items into an array of 4 samples</t>
      </text>
    </comment>
    <comment authorId="0" ref="M52">
      <text>
        <t xml:space="preserve">======
ID#AAABBlV6rO8
Deleted user    (2023-12-01 16:21:10)
3 = given 12 items (3 each of 4 items), can sort at least 6 types of items into array of 4 samples</t>
      </text>
    </comment>
    <comment authorId="0" ref="L52">
      <text>
        <t xml:space="preserve">======
ID#AAABBlV6rO4
Deleted user    (2023-12-01 16:20:43)
2 = given 6 items (2 each of 3 items), can sort at least 4 types of items into array of 3 samples</t>
      </text>
    </comment>
    <comment authorId="0" ref="K52">
      <text>
        <t xml:space="preserve">======
ID#AAABBlV6rO0
Deleted user    (2023-12-01 16:20:09)
1 = given 4 items (2 of each 2 items), can sort 2 types of items into an array of 2 samples</t>
      </text>
    </comment>
    <comment authorId="0" ref="O52">
      <text>
        <t xml:space="preserve">======
ID#AAABBlV6rOw
Deleted user    (2023-12-01 16:19:40)
When given a variety of nonidentical objects or pictures representing three items, and given an array of sample items for each of the three items, the student will sort nonidentical items into the appropriate groups (e.g., all the dogs, all the trees, all the people).</t>
      </text>
    </comment>
    <comment authorId="0" ref="M53">
      <text>
        <t xml:space="preserve">======
ID#AAABBlV6rOs
Deleted user    (2023-12-01 16:18:02)
2 = can match at least 10 items in 30 seconds</t>
      </text>
    </comment>
    <comment authorId="0" ref="K53">
      <text>
        <t xml:space="preserve">======
ID#AAABBlV6rOo
Deleted user    (2023-12-01 16:17:49)
1 = can match 5 separate items in 15 seconds</t>
      </text>
    </comment>
    <comment authorId="0" ref="O53">
      <text>
        <t xml:space="preserve">======
ID#AAABBlV6rOk
Deleted user    (2023-12-01 16:17:38)
When given a group of ten pictures of items, the student will match those pictures to an identical picture in an array of ten pictures in quick succession.</t>
      </text>
    </comment>
    <comment authorId="0" ref="M54">
      <text>
        <t xml:space="preserve">======
ID#AAABBlV6rOg
Deleted user    (2023-12-01 16:17:10)
2 = can match three items in succession</t>
      </text>
    </comment>
    <comment authorId="0" ref="K54">
      <text>
        <t xml:space="preserve">======
ID#AAABBlV6rOc
Deleted user    (2023-12-01 16:17:01)
1 = can match a single item per task presentation</t>
      </text>
    </comment>
    <comment authorId="0" ref="O54">
      <text>
        <t xml:space="preserve">======
ID#AAABBlV6rOY
Deleted user    (2023-12-01 16:16:49)
When given a picture of an item, the student will match the picture to one of three objects in an array.</t>
      </text>
    </comment>
    <comment authorId="0" ref="N55">
      <text>
        <t xml:space="preserve">======
ID#AAABBlV6rOU
Deleted user    (2023-12-01 16:16:22)
4 = at least 10 pictures to pictures in a display of 8 pictures</t>
      </text>
    </comment>
    <comment authorId="0" ref="M55">
      <text>
        <t xml:space="preserve">======
ID#AAABBlV6rOQ
Deleted user    (2023-12-01 16:16:09)
3 = at least 5 pictures to pictures in a display of 4</t>
      </text>
    </comment>
    <comment authorId="0" ref="L55">
      <text>
        <t xml:space="preserve">======
ID#AAABBlV6rOM
Deleted user    (2023-12-01 16:15:47)
2 = at least two pictures to pictures in a display of 2</t>
      </text>
    </comment>
    <comment authorId="0" ref="K55">
      <text>
        <t xml:space="preserve">======
ID#AAABBlV6rOI
Deleted user    (2023-12-01 16:15:27)
1 = can match one picture to an identical picture in a display of 2 pictures</t>
      </text>
    </comment>
    <comment authorId="0" ref="O55">
      <text>
        <t xml:space="preserve">======
ID#AAABBlV6rOE
Deleted user    (2023-12-01 16:15:09)
When given a picture, the student will match to an identical picture in an array of three pictures.</t>
      </text>
    </comment>
    <comment authorId="0" ref="M56">
      <text>
        <t xml:space="preserve">======
ID#AAABBlV6rOA
Deleted user    (2023-12-01 16:14:34)
2 = can match three items in succession</t>
      </text>
    </comment>
    <comment authorId="0" ref="K56">
      <text>
        <t xml:space="preserve">======
ID#AAABBlV6rN8
Deleted user    (2023-12-01 16:14:25)
1 = can match a single item per task presentation</t>
      </text>
    </comment>
    <comment authorId="0" ref="O56">
      <text>
        <t xml:space="preserve">======
ID#AAABBlV6rN4
Deleted user    (2023-12-01 16:14:09)
When given an item, the student will match the object to one of three pictures in an array.</t>
      </text>
    </comment>
    <comment authorId="0" ref="N57">
      <text>
        <t xml:space="preserve">======
ID#AAABBlV6rN0
Deleted user    (2023-12-01 16:13:39)
4 = at least 10 objects to objects in a display of 8 items</t>
      </text>
    </comment>
    <comment authorId="0" ref="M57">
      <text>
        <t xml:space="preserve">======
ID#AAABBlV6rNw
Deleted user    (2023-12-01 16:13:04)
3 = at least 5 objects to objects in a display of 4 items</t>
      </text>
    </comment>
    <comment authorId="0" ref="L57">
      <text>
        <t xml:space="preserve">======
ID#AAABBlV6rNs
Deleted user    (2023-12-01 16:12:44)
2 = at least two objects to objects in a display of 2 items</t>
      </text>
    </comment>
    <comment authorId="0" ref="K57">
      <text>
        <t xml:space="preserve">======
ID#AAABBlV6rNo
Deleted user    (2023-12-01 16:11:38)
1 = can match one objet to an identical object in a display of 2 items</t>
      </text>
    </comment>
    <comment authorId="0" ref="O57">
      <text>
        <t xml:space="preserve">======
ID#AAABBlV6rNk
Deleted user    (2023-12-01 16:11:20)
When given an object the student will match to an identical object in an array of three items.</t>
      </text>
    </comment>
    <comment authorId="0" ref="N58">
      <text>
        <t xml:space="preserve">======
ID#AAABBlV6rNg
Deleted user    (2023-12-01 16:11:03)
4 = 6 pieces by looking at piece then visually locating the corresponding hole</t>
      </text>
    </comment>
    <comment authorId="0" ref="M58">
      <text>
        <t xml:space="preserve">======
ID#AAABBlV6rNc
Deleted user    (2023-12-01 16:10:41)
3 = 4 pieces by look and locate</t>
      </text>
    </comment>
    <comment authorId="0" ref="L58">
      <text>
        <t xml:space="preserve">======
ID#AAABBlV6rNY
Deleted user    (2023-12-01 16:10:29)
2 = 4 pieces using trial and error approach</t>
      </text>
    </comment>
    <comment authorId="0" ref="K58">
      <text>
        <t xml:space="preserve">======
ID#AAABBlV6rNU
Deleted user    (2023-12-01 16:10:14)
1 = 2 pieces by trial and error</t>
      </text>
    </comment>
    <comment authorId="0" ref="O58">
      <text>
        <t xml:space="preserve">======
ID#AAABBlV6rNQ
Deleted user    (2023-12-01 16:10:06)
When provided a form box shape sorter and its pieces, the student will be able to put the pieces into the corresponding holes in the form box.</t>
      </text>
    </comment>
    <comment authorId="0" ref="N59">
      <text>
        <t xml:space="preserve">======
ID#AAABBlV6rNM
Deleted user    (2023-12-01 16:09:33)
4 = places 5 pieces presented as group by looking and positioning</t>
      </text>
    </comment>
    <comment authorId="0" ref="M59">
      <text>
        <t xml:space="preserve">======
ID#AAABBlV6rNI
Deleted user    (2023-12-01 16:09:17)
3 = 3 pieces presented as group by looking and positioning</t>
      </text>
    </comment>
    <comment authorId="0" ref="L59">
      <text>
        <t xml:space="preserve">======
ID#AAABBlV6rNE
Deleted user    (2023-12-01 16:08:56)
2 = 5 pieces handed separately using trial and error</t>
      </text>
    </comment>
    <comment authorId="0" ref="K59">
      <text>
        <t xml:space="preserve">======
ID#AAABBlV6rNA
Deleted user    (2023-12-01 16:08:38)
1 = places up to 3 pieces handed separately using trial and error</t>
      </text>
    </comment>
    <comment authorId="0" ref="O59">
      <text>
        <t xml:space="preserve">======
ID#AAABBlV6rM8
Deleted user    (2023-12-01 16:08:19)
When given single, uniquely shaped pieces from an inset puzzle; the student will put the puzzle pieces into the puzzle frame.</t>
      </text>
    </comment>
    <comment authorId="0" ref="G41">
      <text>
        <t xml:space="preserve">======
ID#AAABAOhG5JA
Deleted user    (2023-11-28 18:29:59)
2 = works independently 10 minutes to complete task for recognition of task completion</t>
      </text>
    </comment>
    <comment authorId="0" ref="E41">
      <text>
        <t xml:space="preserve">======
ID#AAABAOhG5I8
Deleted user    (2023-11-28 18:29:38)
1 = works independently for 5 minutes to complete a task with only praise as the reinforcer</t>
      </text>
    </comment>
    <comment authorId="0" ref="I41">
      <text>
        <t xml:space="preserve">======
ID#AAABAOgk24c
Deleted user    (2023-11-28 18:29:15)
Completion of a task serves as an effective reinforcer for the student.</t>
      </text>
    </comment>
    <comment authorId="0" ref="G42">
      <text>
        <t xml:space="preserve">======
ID#AAABAOgk24Y
Deleted user    (2023-11-28 18:29:01)
2 = asks others to see what they have done</t>
      </text>
    </comment>
    <comment authorId="0" ref="E42">
      <text>
        <t xml:space="preserve">======
ID#AAABAOgk24U
Deleted user    (2023-11-28 18:28:51)
1 = looks to see if others have noticed what they have done</t>
      </text>
    </comment>
    <comment authorId="0" ref="I42">
      <text>
        <t xml:space="preserve">======
ID#AAABAOgk24Q
Deleted user    (2023-11-28 18:28:36)
The student will seek recognition for his accomplishments.</t>
      </text>
    </comment>
    <comment authorId="0" ref="H43">
      <text>
        <t xml:space="preserve">======
ID#AAABAOgk24M
Deleted user    (2023-11-28 18:28:26)
4 = waits 5 minutes</t>
      </text>
    </comment>
    <comment authorId="0" ref="G43">
      <text>
        <t xml:space="preserve">======
ID#AAABAOgk24I
Deleted user    (2023-11-28 18:28:20)
3 = 1 minute</t>
      </text>
    </comment>
    <comment authorId="0" ref="F43">
      <text>
        <t xml:space="preserve">======
ID#AAABAOgk24E
Deleted user    (2023-11-28 18:28:15)
2 = 10 seconds</t>
      </text>
    </comment>
    <comment authorId="0" ref="E43">
      <text>
        <t xml:space="preserve">======
ID#AAABAOgk24A
Deleted user    (2023-11-28 18:28:08)
1 = 5 seconds</t>
      </text>
    </comment>
    <comment authorId="0" ref="I43">
      <text>
        <t xml:space="preserve">======
ID#AAABAOgk238
Deleted user    (2023-11-28 18:28:01)
The student will be able to wait appropriately if a reinforcer is not delivered immediately following a behavior.</t>
      </text>
    </comment>
    <comment authorId="0" ref="H44">
      <text>
        <t xml:space="preserve">======
ID#AAABAOgk234
Deleted user    (2023-11-28 18:27:32)
4 = works for 15 minutes for only praise</t>
      </text>
    </comment>
    <comment authorId="0" ref="G44">
      <text>
        <t xml:space="preserve">======
ID#AAABAOgk230
Deleted user    (2023-11-28 18:27:23)
3 = works for praise for 15 minutes with a back-up reinforcer</t>
      </text>
    </comment>
    <comment authorId="0" ref="F44">
      <text>
        <t xml:space="preserve">======
ID#AAABAOgk23w
Deleted user    (2023-11-28 18:27:10)
2 = works for praise for 5 minutes with back-up reinforcer</t>
      </text>
    </comment>
    <comment authorId="0" ref="E44">
      <text>
        <t xml:space="preserve">======
ID#AAABAOgk23s
Deleted user    (2023-11-28 18:26:47)
1 = works for praise for 3 responses prior to receiving a back-up reinforcer</t>
      </text>
    </comment>
    <comment authorId="0" ref="I44">
      <text>
        <t xml:space="preserve">======
ID#AAABAOgk23o
Deleted user    (2023-11-28 18:26:20)
Praise will serve as an effective reinforcer for the student.</t>
      </text>
    </comment>
    <comment authorId="0" ref="G45">
      <text>
        <t xml:space="preserve">======
ID#AAABAOgk23k
Deleted user    (2023-11-28 18:26:04)
2 = looks at instructors to seek feedback when finished responding at least 70% of the time</t>
      </text>
    </comment>
    <comment authorId="0" ref="E45">
      <text>
        <t xml:space="preserve">======
ID#AAABAOgk23g
Deleted user    (2023-11-28 18:25:37)
1 = occasionally looks at instructors to seek feedback when finished responding (without the instructor using highly exaggerated changes in behavior to get the student to notice)</t>
      </text>
    </comment>
    <comment authorId="0" ref="I45">
      <text>
        <t xml:space="preserve">======
ID#AAABAOgk23c
Deleted user    (2023-11-28 18:25:04)
After completing a task, when engaged in a series of learning activities, the student will orient to the instructor such as to observe the changes in instructor's facial expression and voice that provide feedback regarding the correctness of the response.</t>
      </text>
    </comment>
    <comment authorId="0" ref="H46">
      <text>
        <t xml:space="preserve">======
ID#AAABAOgk23Y
Deleted user    (2023-11-28 18:23:29)
4 = engages in 5 acquisition responses for instructor interaction reinforcer</t>
      </text>
    </comment>
    <comment authorId="0" ref="G46">
      <text>
        <t xml:space="preserve">======
ID#AAABAOftTTY
Deleted user    (2023-11-28 18:23:02)
3 = 2 acquisition and 3 maintenance responses for instructor interaction</t>
      </text>
    </comment>
    <comment authorId="0" ref="F46">
      <text>
        <t xml:space="preserve">======
ID#AAABAOftTTU
Deleted user    (2023-11-28 18:22:32)
2 = 4 maintenance responses for instructor interaction</t>
      </text>
    </comment>
    <comment authorId="0" ref="E46">
      <text>
        <t xml:space="preserve">======
ID#AAABAOftTTQ
Deleted user    (2023-11-28 18:22:19)
1 = 2 maintenance responses for instructor interaction reinforcer</t>
      </text>
    </comment>
    <comment authorId="0" ref="I46">
      <text>
        <t xml:space="preserve">======
ID#AAABAOftTTM
Deleted user    (2023-11-28 18:21:53)
The student will work for reinforcement that involves fun interaction with the instructor.</t>
      </text>
    </comment>
    <comment authorId="0" ref="H47">
      <text>
        <t xml:space="preserve">======
ID#AAABAOftTTA
Deleted user    (2023-11-28 18:18:33)
4 = engages in 5 acquisition responses for an edible or tangible reinforcer</t>
      </text>
    </comment>
    <comment authorId="0" ref="G47">
      <text>
        <t xml:space="preserve">======
ID#AAABAOftTS8
Deleted user    (2023-11-28 18:18:08)
3 = 2 acquisition and 3 maintenance responses for a reinforcer</t>
      </text>
    </comment>
    <comment authorId="0" ref="F47">
      <text>
        <t xml:space="preserve">======
ID#AAABAOftTS4
Deleted user    (2023-11-28 18:17:48)
2 = 4 maintenance responses for an edible or tangible reinforcer</t>
      </text>
    </comment>
    <comment authorId="0" ref="E47">
      <text>
        <t xml:space="preserve">======
ID#AAABAOftTS0
Deleted user    (2023-11-28 18:17:25)
1 = 2 maintenance responses for an edible or tangible reinforcer</t>
      </text>
    </comment>
    <comment authorId="0" ref="I47">
      <text>
        <t xml:space="preserve">======
ID#AAABAOftTSw
Deleted user    (2023-11-28 18:17:05)
The student will work for intermittent reinforcement.</t>
      </text>
    </comment>
    <comment authorId="0" ref="G48">
      <text>
        <t xml:space="preserve">======
ID#AAABAOftTSo
Deleted user    (2023-11-28 18:16:26)
2 = at least 10 separate instructor controllable items or activities are effective as reinforcers for learning behaviors</t>
      </text>
    </comment>
    <comment authorId="0" ref="E48">
      <text>
        <t xml:space="preserve">======
ID#AAABAOftTSk
Deleted user    (2023-11-28 18:15:58)
1 = at least 5 items or activities are effective as reinforcers</t>
      </text>
    </comment>
    <comment authorId="0" ref="I48">
      <text>
        <t xml:space="preserve">======
ID#AAABAOftTSg
Deleted user    (2023-11-28 18:15:43)
A variety of items and activities serve as reinforcers.</t>
      </text>
    </comment>
    <comment authorId="0" ref="G49">
      <text>
        <t xml:space="preserve">======
ID#AAABAOea55Q
Deleted user    (2023-11-28 18:15:20)
2 = consistently responds within 3 seconds when instructions are presented</t>
      </text>
    </comment>
    <comment authorId="0" ref="E49">
      <text>
        <t xml:space="preserve">======
ID#AAABAOea55M
Deleted user    (2023-11-28 18:14:47)
1 = consistently responds within 5 seconds when instructions are presented</t>
      </text>
    </comment>
    <comment authorId="0" ref="I49">
      <text>
        <t xml:space="preserve">======
ID#AAABAOea55I
Deleted user    (2023-11-28 18:14:18)
When engaged in a series of learning tasks, the student will respond quickly when an instruction is presented.</t>
      </text>
    </comment>
    <comment authorId="0" ref="G50">
      <text>
        <t xml:space="preserve">======
ID#AAABAOea55E
Deleted user    (2023-11-28 18:13:20)
2 = can consistently scan up to 6 task-related items within 3 seconds (prior to responding)</t>
      </text>
    </comment>
    <comment authorId="0" ref="E50">
      <text>
        <t xml:space="preserve">======
ID#AAABAOea55A
Deleted user    (2023-11-28 18:12:54)
1 = can consistently scan up to 3 task-related items within 3 seconds (prior to responding)</t>
      </text>
    </comment>
    <comment authorId="0" ref="I50">
      <text>
        <t xml:space="preserve">======
ID#AAABAOea548
Deleted user    (2023-11-28 18:12:30)
When an instruction is presented during a series of learning tasks that involve instructional materials, the student will attend to the instruction then scan the materials prior to responding to the instruction.</t>
      </text>
    </comment>
    <comment authorId="0" ref="G51">
      <text>
        <t xml:space="preserve">======
ID#AAABAOea540
Deleted user    (2023-11-28 18:11:22)
2 = after scanning materials, student consistently looks to the instructor for the next instruction</t>
      </text>
    </comment>
    <comment authorId="0" ref="E51">
      <text>
        <t xml:space="preserve">======
ID#AAABAOea54w
Deleted user    (2023-11-28 18:10:56)
1 = after scanning materials, student requires only one prompt to orient to the instructor for an instruction to be presented</t>
      </text>
    </comment>
    <comment authorId="0" ref="I51">
      <text>
        <t xml:space="preserve">======
ID#AAABAOea54o
Deleted user    (2023-11-28 18:10:13)
When engaged in an obvious series of learning tasks, the student will scan the materials and look at the instructor to seek the instruction for the next task.</t>
      </text>
    </comment>
    <comment authorId="0" ref="G52">
      <text>
        <t xml:space="preserve">======
ID#AAABAOea54k
Deleted user    (2023-11-28 18:08:40)
2 = while sitting or standing in front of task materials the student consistently waits calmly orienting towards the materials without requiring prompts to leave the materials alone</t>
      </text>
    </comment>
    <comment authorId="0" ref="E52">
      <text>
        <t xml:space="preserve">======
ID#AAABAOea54c
Deleted user    (2023-11-28 18:07:49)
1 = requires only one prompt to sit/stand nicely or keep hands off the materials</t>
      </text>
    </comment>
    <comment authorId="0" ref="I52">
      <text>
        <t xml:space="preserve">======
ID#AAABAOea54Y
Deleted user    (2023-11-28 18:07:21)
When an instructor is attempting to engage the student in learning activities (at a table, while seated on the floor, or standing near materials for an activity), the student will wait calmly, remain generally oriented towards the instructor and materials, and will keep his hands away from the instructional materials until an instruction is presented.</t>
      </text>
    </comment>
    <comment authorId="0" ref="G53">
      <text>
        <t xml:space="preserve">======
ID#AAABAOea54U
Deleted user    (2023-11-28 18:05:46)
2 = works readily with 3 or more instructors and with novel instructors at about the same rate and quality of responding demonstrated with familiar instructors</t>
      </text>
    </comment>
    <comment authorId="0" ref="E53">
      <text>
        <t xml:space="preserve">======
ID#AAABAOea54Q
Deleted user    (2023-11-28 18:05:12)
1 = works readily with 3 or more instructors at about the same rate and quality of responding</t>
      </text>
    </comment>
    <comment authorId="0" ref="I53">
      <text>
        <t xml:space="preserve">======
ID#AAABAOea54M
Deleted user    (2023-11-28 18:04:03)
The student will be able to demonstrate and use skills learned with one instructor when working with other instructors.</t>
      </text>
    </comment>
    <comment authorId="0" ref="I54">
      <text>
        <t xml:space="preserve">======
ID#AAABAOea54I
Deleted user    (2023-11-28 18:02:23)
The student will work for instructor controlled reinforcement.</t>
      </text>
    </comment>
    <comment authorId="0" ref="H54">
      <text>
        <t xml:space="preserve">======
ID#AAABAOea54E
Deleted user    (2023-11-28 18:02:00)
4 = engages in 5 acquisition responses for at least 5 presentations of a particular reinforcer</t>
      </text>
    </comment>
    <comment authorId="0" ref="G54">
      <text>
        <t xml:space="preserve">======
ID#AAABAOYhCKA
Deleted user    (2023-11-28 18:01:21)
3 = 2 acquisition &amp; 3 maintenance responses for 5 presentations</t>
      </text>
    </comment>
    <comment authorId="0" ref="F54">
      <text>
        <t xml:space="preserve">======
ID#AAABAOYhCJ8
Deleted user    (2023-11-28 18:00:52)
2 = 5 maintenance responses for 5 presentations</t>
      </text>
    </comment>
    <comment authorId="0" ref="E54">
      <text>
        <t xml:space="preserve">======
ID#AAABAOYhCJ4
Deleted user    (2023-11-28 18:00:35)
1 = 3 maintenance responses for 3 presentations</t>
      </text>
    </comment>
    <comment authorId="0" ref="H55">
      <text>
        <t xml:space="preserve">======
ID#AAABAOYhCJ0
Deleted user    (2023-11-28 17:51:20)
4 = will approach and sit at a table and perform multiple responses to get reinforcers (each response is reinforced)</t>
      </text>
    </comment>
    <comment authorId="0" ref="G55">
      <text>
        <t xml:space="preserve">======
ID#AAABAOYhCJw
Deleted user    (2023-11-28 17:50:36)
3 = will approach and perform multiple responses (each response is reinforced)</t>
      </text>
    </comment>
    <comment authorId="0" ref="F55">
      <text>
        <t xml:space="preserve">======
ID#AAABAOYhCJs
Deleted user    (2023-11-28 17:50:18)
2 = will readily and repeatedly approach and perform a variety of known single responses</t>
      </text>
    </comment>
    <comment authorId="0" ref="E55">
      <text>
        <t xml:space="preserve">======
ID#AAABAOYhCJo
Deleted user    (2023-11-28 17:49:50)
1 = will occasionally approach and perform at least one response for the reinforcer</t>
      </text>
    </comment>
    <comment authorId="0" ref="I55">
      <text>
        <t xml:space="preserve">======
ID#AAABAOYhCJk
Deleted user    (2023-11-28 17:49:12)
When a specific tangible reinforcer is available and there is a clearly identified requirement for a known response to be performed, the student will approach the instructor and perform the required response (i.e., the student knows that there is a reinforcer available but that he will need to approach the instructor and do a simple task to get the reinforcer).</t>
      </text>
    </comment>
    <comment authorId="0" ref="E56">
      <text>
        <t xml:space="preserve">======
ID#AAABAOYhCJg
Deleted user    (2023-11-28 17:47:15)
1 = either not all the time or takes more than 3 seconds to respond</t>
      </text>
    </comment>
    <comment authorId="0" ref="G56">
      <text>
        <t xml:space="preserve">======
ID#AAABAOYhCJc
Deleted user    (2023-11-28 17:46:54)
2 = takes within 3 seconds all the time</t>
      </text>
    </comment>
    <comment authorId="0" ref="I56">
      <text>
        <t xml:space="preserve">======
ID#AAABAOYhCJY
Deleted user    (2023-11-28 17:46:38)
When offered a common object, the student will take the item.</t>
      </text>
    </comment>
    <comment authorId="0" ref="I57">
      <text>
        <t xml:space="preserve">======
ID#AAABAOYhCJU
Deleted user    (2023-11-28 17:46:22)
Student will look at and track changes in location of a non-reinforcing item presented by an instructor.</t>
      </text>
    </comment>
    <comment authorId="0" ref="H57">
      <text>
        <t xml:space="preserve">======
ID#AAABAOYhCJQ
Deleted user    (2023-11-28 17:45:49)
4 = will track the movement of the item to 6 different positions in a 10 second period</t>
      </text>
    </comment>
    <comment authorId="0" ref="G57">
      <text>
        <t xml:space="preserve">======
ID#AAABAOYhCJM
Deleted user    (2023-11-28 17:45:31)
3 = will track the movement of the item to 4 positions in 10 seconds</t>
      </text>
    </comment>
    <comment authorId="0" ref="F57">
      <text>
        <t xml:space="preserve">======
ID#AAABAOYhCJI
Deleted user    (2023-11-28 17:44:57)
2 = finds it in any position (up/down/left/right) within 3 seconds</t>
      </text>
    </comment>
    <comment authorId="0" ref="E57">
      <text>
        <t xml:space="preserve">======
ID#AAABAOYhCJE
Deleted user    (2023-11-28 17:44:35)
1 = will look at item but requires an additional prompt to look or takes more than 3 seconds to respond</t>
      </text>
    </comment>
    <comment authorId="0" ref="I58">
      <text>
        <t xml:space="preserve">======
ID#AAABAOYhCJA
Deleted user    (2023-11-28 17:43:53)
When offered one reinforcing item or activity and another non-reinforcing item or activity, the student will select the reinforcing item or activity.</t>
      </text>
    </comment>
    <comment authorId="0" ref="G58">
      <text>
        <t xml:space="preserve">======
ID#AAABAOYhCI8
Deleted user    (2023-11-28 17:43:08)
2 = takes within 3 seconds all the time</t>
      </text>
    </comment>
    <comment authorId="0" ref="E58">
      <text>
        <t xml:space="preserve">======
ID#AAABAOYhCI4
Deleted user    (2023-11-28 17:42:58)
1 = either not all the time or takes more than 3 seconds to respond</t>
      </text>
    </comment>
    <comment authorId="0" ref="G59">
      <text>
        <t xml:space="preserve">======
ID#AAABAOYhCI0
Deleted user    (2023-11-28 17:42:17)
2 = takes within 3 seconds all the time</t>
      </text>
    </comment>
    <comment authorId="0" ref="E59">
      <text>
        <t xml:space="preserve">======
ID#AAABAOYhCIw
Deleted user    (2023-11-28 17:42:00)
1 = either not all the time or takes more than 3 seconds to respond</t>
      </text>
    </comment>
    <comment authorId="0" ref="I59">
      <text>
        <t xml:space="preserve">======
ID#AAABAOYhCIs
Deleted user    (2023-11-28 17:41:30)
When offered a known reinforcing item or activity, the student will take/use the item or activity.</t>
      </text>
    </comment>
    <comment authorId="0" ref="AT46">
      <text>
        <t xml:space="preserve">======
ID#AAAAYJwpwL4
Tom Caffrey    (2022-04-21 14:10:55)
Fill in item given the class</t>
      </text>
    </comment>
    <comment authorId="0" ref="P39">
      <text>
        <t xml:space="preserve">======
ID#AAAAYJwpwL8
Tom Caffrey    (2022-04-21 14:10:55)
Point to body parts on others or on pictures</t>
      </text>
    </comment>
    <comment authorId="0" ref="AH33">
      <text>
        <t xml:space="preserve">======
ID#AAAAYJwpwLw
Tom Caffrey    (2022-04-21 14:10:55)
Requests information using "can," "do,"does", or "will"</t>
      </text>
    </comment>
    <comment authorId="0" ref="AT20">
      <text>
        <t xml:space="preserve">======
ID#AAAAYJwpwL0
Tom Caffrey    (2022-04-21 14:10:55)
Describes items</t>
      </text>
    </comment>
    <comment authorId="0" ref="P47">
      <text>
        <t xml:space="preserve">======
ID#AAAAYJwpwLs
Tom Caffrey    (2022-04-21 14:10:55)
Follow instructions to select one of two common objects</t>
      </text>
    </comment>
    <comment authorId="0" ref="D41">
      <text>
        <t xml:space="preserve">======
ID#AAAAYJwpwLo
Barbara C. Hughes    (2022-04-21 14:10:55)
Task completion serves as a reinforcer</t>
      </text>
    </comment>
    <comment authorId="0" ref="AB58">
      <text>
        <t xml:space="preserve">======
ID#AAAAYJwpwLk
Tom Caffrey    (2022-04-21 14:10:55)
Imitates sequence of single sounds switching with a model</t>
      </text>
    </comment>
    <comment authorId="0" ref="AB174">
      <text>
        <t xml:space="preserve">======
ID#AAAAYJwpwLc
Tom Caffrey    (2022-04-21 14:10:55)
Blow nose when needed</t>
      </text>
    </comment>
    <comment authorId="0" ref="AN43">
      <text>
        <t xml:space="preserve">======
ID#AAAAYJwpwLg
Tom Caffrey    (2022-04-21 14:10:55)
Labels items when told its class</t>
      </text>
    </comment>
    <comment authorId="0" ref="AT102">
      <text>
        <t xml:space="preserve">======
ID#AAAAYJwpwLU
Tom Caffrey    (2022-04-21 14:10:55)
"add"</t>
      </text>
    </comment>
    <comment authorId="0" ref="AN48">
      <text>
        <t xml:space="preserve">======
ID#AAAAYJwpwLQ
Tom Caffrey    (2022-04-21 14:10:55)
labels parts of features of objects</t>
      </text>
    </comment>
    <comment authorId="0" ref="P116">
      <text>
        <t xml:space="preserve">======
ID#AAAAYJwpwLY
Tom Caffrey    (2022-04-21 14:10:55)
Shows interest in the behavior of others</t>
      </text>
    </comment>
    <comment authorId="0" ref="V49">
      <text>
        <t xml:space="preserve">======
ID#AAAAYJwpwLM
Tom Caffrey    (2022-04-21 14:10:55)
Imitation of facial/oral motor movements modeled in a mirror</t>
      </text>
    </comment>
    <comment authorId="0" ref="D106">
      <text>
        <t xml:space="preserve">======
ID#AAAAYJwpwLE
Tom Caffrey    (2022-04-21 14:10:55)
Conjunctions</t>
      </text>
    </comment>
    <comment authorId="0" ref="AT98">
      <text>
        <t xml:space="preserve">======
ID#AAAAYJwpwLI
Tom Caffrey    (2022-04-21 14:10:55)
Identify coins 
by name</t>
      </text>
    </comment>
    <comment authorId="0" ref="V34">
      <text>
        <t xml:space="preserve">======
ID#AAAAYJwpwLA
Barbara C. Hughes    (2022-04-21 14:10:55)
Spontaneously imitates the actions of others</t>
      </text>
    </comment>
    <comment authorId="0" ref="AH55">
      <text>
        <t xml:space="preserve">======
ID#AAAAYJwpwK8
Tom Caffrey    (2022-04-21 14:10:55)
Spontaneous requests with items present (No Prompts)</t>
      </text>
    </comment>
    <comment authorId="0" ref="V56">
      <text>
        <t xml:space="preserve">======
ID#AAAAYJwpwK4
Tom Caffrey    (2022-04-21 14:10:55)
Imitation of leg and foot movements</t>
      </text>
    </comment>
    <comment authorId="0" ref="J117">
      <text>
        <t xml:space="preserve">======
ID#AAAAYJwpwKw
Tom Caffrey    (2022-04-21 14:10:55)
Independent outdoor activities</t>
      </text>
    </comment>
    <comment authorId="0" ref="AB52">
      <text>
        <t xml:space="preserve">======
ID#AAAAYJwpwK0
Tom Caffrey    (2022-04-21 14:10:55)
Consonant-vowel/vowel-consonant combinations</t>
      </text>
    </comment>
    <comment authorId="0" ref="AT163">
      <text>
        <t xml:space="preserve">======
ID#AAAAYJwpwKs
Tom Caffrey    (2022-04-21 14:10:55)
Squeeze glue 
from a bottle</t>
      </text>
    </comment>
    <comment authorId="0" ref="J110">
      <text>
        <t xml:space="preserve">======
ID#AAAAYJwpwKo
Tom Caffrey    (2022-04-21 14:10:55)
Sociodramatic play</t>
      </text>
    </comment>
    <comment authorId="0" ref="AB55">
      <text>
        <t xml:space="preserve">======
ID#AAAAYJwpwKk
Tom Caffrey    (2022-04-21 14:10:55)
Imitation of short and fast vs. elongated/slow sounds</t>
      </text>
    </comment>
    <comment authorId="0" ref="AT116">
      <text>
        <t xml:space="preserve">======
ID#AAAAYJwpwKc
Tom Caffrey    (2022-04-21 14:10:55)
Count given objects</t>
      </text>
    </comment>
    <comment authorId="0" ref="AH50">
      <text>
        <t xml:space="preserve">======
ID#AAAAYJwpwKg
Tom Caffrey    (2022-04-21 14:10:55)
Requests with head movements or by saying yes/no</t>
      </text>
    </comment>
    <comment authorId="0" ref="J113">
      <text>
        <t xml:space="preserve">======
ID#AAAAYJwpwKU
Tom Caffrey    (2022-04-21 14:10:55)
Multiple responses with toys related to a theme</t>
      </text>
    </comment>
    <comment authorId="0" ref="AN170">
      <text>
        <t xml:space="preserve">======
ID#AAAAYJwpwKY
Tom Caffrey    (2022-04-21 14:10:55)
Climb a ladder using reciprocal motion</t>
      </text>
    </comment>
    <comment authorId="0" ref="AT165">
      <text>
        <t xml:space="preserve">======
ID#AAAAYJwpwKQ
Tom Caffrey    (2022-04-21 14:10:55)
Cuts across paper with scissors</t>
      </text>
    </comment>
    <comment authorId="0" ref="AT113">
      <text>
        <t xml:space="preserve">======
ID#AAAAYJwpwKM
Tom Caffrey    (2022-04-21 14:10:55)
Names numbers</t>
      </text>
    </comment>
    <comment authorId="0" ref="AT110">
      <text>
        <t xml:space="preserve">======
ID#AAAAYJwpwKE
Tom Caffrey    (2022-04-21 14:10:55)
"less"</t>
      </text>
    </comment>
    <comment authorId="0" ref="J111">
      <text>
        <t xml:space="preserve">======
ID#AAAAYJwpwKI
Tom Caffrey    (2022-04-21 14:10:55)
Plays interactively with a variety of peers</t>
      </text>
    </comment>
    <comment authorId="0" ref="AN27">
      <text>
        <t xml:space="preserve">======
ID#AAAAYJwpwKA
Tom Caffrey    (2022-04-21 14:10:55)
Labels common environmental sounds</t>
      </text>
    </comment>
    <comment authorId="0" ref="AT22">
      <text>
        <t xml:space="preserve">======
ID#AAAAYJwpwJ8
Tom Caffrey    (2022-04-21 14:10:55)
Answers questions containing two critical stimuli (multiple component questions with multiple responses)</t>
      </text>
    </comment>
    <comment authorId="0" ref="AT92">
      <text>
        <t xml:space="preserve">======
ID#AAAAYJwpwJ4
Tom Caffrey    (2022-04-21 14:10:55)
"plus"</t>
      </text>
    </comment>
    <comment authorId="0" ref="J51">
      <text>
        <t xml:space="preserve">======
ID#AAAAYJwpwJ0
Tom Caffrey    (2022-04-21 14:10:55)
Block designs on picture card</t>
      </text>
    </comment>
    <comment authorId="0" ref="P172">
      <text>
        <t xml:space="preserve">======
ID#AAAAYJwpwJs
Tom Caffrey    (2022-04-21 14:10:55)
Fasten zipper</t>
      </text>
    </comment>
    <comment authorId="0" ref="J174">
      <text>
        <t xml:space="preserve">======
ID#AAAAYJwpwJo
oldsjm    (2022-04-21 14:10:55)
Spell own name</t>
      </text>
    </comment>
    <comment authorId="0" ref="P10">
      <text>
        <t xml:space="preserve">======
ID#AAAAYJwpwJw
Tom Caffrey    (2022-04-21 14:10:55)
Follows a multiple component sequence intruction</t>
      </text>
    </comment>
    <comment authorId="0" ref="AT166">
      <text>
        <t xml:space="preserve">======
ID#AAAAYJwpwJk
Tom Caffrey    (2022-04-21 14:10:55)
Remove lids of jars</t>
      </text>
    </comment>
    <comment authorId="0" ref="AB56">
      <text>
        <t xml:space="preserve">======
ID#AAAAYJwpwJg
Tom Caffrey    (2022-04-21 14:10:55)
Imitation of multiple separate sound combinations</t>
      </text>
    </comment>
    <comment authorId="0" ref="AB41">
      <text>
        <t xml:space="preserve">======
ID#AAAAYJwpwJY
Barbara C. Hughes    (2022-04-21 14:10:55)
Spontaneous imitation of words</t>
      </text>
    </comment>
    <comment authorId="0" ref="P30">
      <text>
        <t xml:space="preserve">======
ID#AAAAYJwpwJc
Tom Caffrey    (2022-04-21 14:10:55)
Follow an instruction to go to a person and do an action</t>
      </text>
    </comment>
    <comment authorId="0" ref="J118">
      <text>
        <t xml:space="preserve">======
ID#AAAAYJwpwJQ
Tom Caffrey    (2022-04-21 14:10:55)
Allows others to manipulate/ touch toys</t>
      </text>
    </comment>
    <comment authorId="0" ref="P112">
      <text>
        <t xml:space="preserve">======
ID#AAAAYJwpwJU
Tom Caffrey    (2022-04-21 14:10:55)
Listener receptive</t>
      </text>
    </comment>
    <comment authorId="0" ref="P54">
      <text>
        <t xml:space="preserve">======
ID#AAAAYJwpwJM
Tom Caffrey    (2022-04-21 14:10:55)
Follow instruction to do an enjoyable action out of context</t>
      </text>
    </comment>
    <comment authorId="0" ref="D51">
      <text>
        <t xml:space="preserve">======
ID#AAAAYJwpwJI
Tom Caffrey    (2022-04-21 14:10:55)
Looks to instructor for instruction</t>
      </text>
    </comment>
    <comment authorId="0" ref="AN116">
      <text>
        <t xml:space="preserve">======
ID#AAAAYJwpwJA
Tom Caffrey    (2022-04-21 14:10:55)
Labels sounds of letters</t>
      </text>
    </comment>
    <comment authorId="0" ref="AH32">
      <text>
        <t xml:space="preserve">======
ID#AAAAYJwpwJE
Barbara C. Hughes    (2022-04-21 14:10:55)
Requests information using "why"</t>
      </text>
    </comment>
    <comment authorId="0" ref="AN30">
      <text>
        <t xml:space="preserve">======
ID#AAAAYJwpwI8
Tom Caffrey    (2022-04-21 14:10:55)
Identifies obvious problems</t>
      </text>
    </comment>
    <comment authorId="0" ref="AN154">
      <text>
        <t xml:space="preserve">======
ID#AAAAYJwpwI0
Tom Caffrey    (2022-04-21 14:10:55)
Pump while swinging</t>
      </text>
    </comment>
    <comment authorId="0" ref="V115">
      <text>
        <t xml:space="preserve">======
ID#AAAAYJwpwI4
Tom Caffrey    (2022-04-21 14:10:55)
Follows group instructions- all do the same receptive response</t>
      </text>
    </comment>
    <comment authorId="0" ref="P179">
      <text>
        <t xml:space="preserve">======
ID#AAAAYJwpwIs
Tom Caffrey    (2022-04-21 14:10:55)
Shoes on and off</t>
      </text>
    </comment>
    <comment authorId="0" ref="D105">
      <text>
        <t xml:space="preserve">======
ID#AAAAYJwpwIo
Tom Caffrey    (2022-04-21 14:10:55)
Irregular Plurals</t>
      </text>
    </comment>
    <comment authorId="0" ref="AH48">
      <text>
        <t xml:space="preserve">======
ID#AAAAYJwpwIw
Tom Caffrey    (2022-04-21 14:10:55)
Requests help</t>
      </text>
    </comment>
    <comment authorId="0" ref="V33">
      <text>
        <t xml:space="preserve">======
ID#AAAAYJwpwIc
Barbara C. Hughes    (2022-04-21 14:10:55)
Delayed imitation</t>
      </text>
    </comment>
    <comment authorId="0" ref="AT32">
      <text>
        <t xml:space="preserve">======
ID#AAAAYJwpwIk
Tom Caffrey    (2022-04-21 14:10:55)
Answers "who/whose" questions</t>
      </text>
    </comment>
    <comment authorId="0" ref="AT173">
      <text>
        <t xml:space="preserve">======
ID#AAAAYJwpwIg
Tom Caffrey    (2022-04-21 14:10:55)
Turns pages 
of a book</t>
      </text>
    </comment>
    <comment authorId="0" ref="P15">
      <text>
        <t xml:space="preserve">======
ID#AAAAYJwpwIQ
Tom Caffrey    (2022-04-21 14:10:55)
Select common environmental sounds</t>
      </text>
    </comment>
    <comment authorId="0" ref="AN166">
      <text>
        <t xml:space="preserve">======
ID#AAAAYJwpwIY
Tom Caffrey    (2022-04-21 14:10:55)
Catch a ball any method</t>
      </text>
    </comment>
    <comment authorId="0" ref="P59">
      <text>
        <t xml:space="preserve">======
ID#AAAAYJwpwIU
Tom Caffrey    (2022-04-21 14:10:55)
Responds to own name</t>
      </text>
    </comment>
    <comment authorId="0" ref="AH116">
      <text>
        <t xml:space="preserve">======
ID#AAAAYJwpwIM
Tom Caffrey    (2022-04-21 14:10:55)
Use of skills in groups</t>
      </text>
    </comment>
    <comment authorId="0" ref="AT112">
      <text>
        <t xml:space="preserve">======
ID#AAAAYJwpwII
Tom Caffrey    (2022-04-21 14:10:55)
Match number with same 
amount of objects</t>
      </text>
    </comment>
    <comment authorId="0" ref="J45">
      <text>
        <t xml:space="preserve">======
ID#AAAAYJwpwIA
Tom Caffrey    (2022-04-21 14:10:55)
Jigsaw puzzle</t>
      </text>
    </comment>
    <comment authorId="0" ref="P3">
      <text>
        <t xml:space="preserve">======
ID#AAAAYJwpwIE
Barbara C. Hughes    (2022-04-21 14:10:55)
Selects pictures of social interactions</t>
      </text>
    </comment>
    <comment authorId="0" ref="AZ55">
      <text>
        <t xml:space="preserve">======
ID#AAAAYJwpwH0
Tom Caffrey    (2022-04-21 14:10:55)
Sing songs</t>
      </text>
    </comment>
    <comment authorId="0" ref="AT91">
      <text>
        <t xml:space="preserve">======
ID#AAAAYJwpwH8
Tom Caffrey    (2022-04-21 14:10:55)
“subtract/take away"</t>
      </text>
    </comment>
    <comment authorId="0" ref="AN17">
      <text>
        <t xml:space="preserve">======
ID#AAAAYJwpwH4
Barbara C. Hughes    (2022-04-21 14:10:55)
Internal events and emotions</t>
      </text>
    </comment>
    <comment authorId="0" ref="V172">
      <text>
        <t xml:space="preserve">======
ID#AAAAYJwpwHo
Tom Caffrey    (2022-04-21 14:10:55)
Clean-up table 
after meals</t>
      </text>
    </comment>
    <comment authorId="0" ref="AT108">
      <text>
        <t xml:space="preserve">======
ID#AAAAYJwpwHw
Tom Caffrey    (2022-04-21 14:10:55)
"all"</t>
      </text>
    </comment>
    <comment authorId="0" ref="J39">
      <text>
        <t xml:space="preserve">======
ID#AAAAYJwpwHs
Tom Caffrey    (2022-04-21 14:10:55)
Delayed finding a sample</t>
      </text>
    </comment>
    <comment authorId="0" ref="AH44">
      <text>
        <t xml:space="preserve">======
ID#AAAAYJwpwHk
Tom Caffrey    (2022-04-21 14:10:55)
Requests using adjectives</t>
      </text>
    </comment>
    <comment authorId="0" ref="AB42">
      <text>
        <t xml:space="preserve">======
ID#AAAAYJwpwHg
Barbara C. Hughes    (2022-04-21 14:10:55)
Repeat short message to another person</t>
      </text>
    </comment>
    <comment authorId="0" ref="AH56">
      <text>
        <t xml:space="preserve">======
ID#AAAAYJwpwHc
Tom Caffrey    (2022-04-21 14:10:55)
Requesting when asked What do you want?”</t>
      </text>
    </comment>
    <comment authorId="0" ref="D53">
      <text>
        <t xml:space="preserve">======
ID#AAAAYJwpwHY
Tom Caffrey    (2022-04-21 14:10:55)
Responds for multiple instructors</t>
      </text>
    </comment>
    <comment authorId="0" ref="AT52">
      <text>
        <t xml:space="preserve">======
ID#AAAAYJwpwHU
Tom Caffrey    (2022-04-21 14:10:55)
Fill in item given function</t>
      </text>
    </comment>
    <comment authorId="0" ref="AN42">
      <text>
        <t xml:space="preserve">======
ID#AAAAYJwpwHQ
Tom Caffrey    (2022-04-21 14:10:55)
Two-component labels (nouns) with objects</t>
      </text>
    </comment>
    <comment authorId="0" ref="AT37">
      <text>
        <t xml:space="preserve">======
ID#AAAAYJwpwHM
Tom Caffrey    (2022-04-21 14:10:55)
Answers "what" questions relevant to items found in the community</t>
      </text>
    </comment>
    <comment authorId="0" ref="AN156">
      <text>
        <t xml:space="preserve">======
ID#AAAAYJwpwHI
Tom Caffrey    (2022-04-21 14:10:55)
Bounce a ball</t>
      </text>
    </comment>
    <comment authorId="0" ref="V44">
      <text>
        <t xml:space="preserve">======
ID#AAAAYJwpwHE
Barbara C. Hughes    (2022-04-21 14:10:55)
Imitate speed of a recently modeled action with objects</t>
      </text>
    </comment>
    <comment authorId="0" ref="AT51">
      <text>
        <t xml:space="preserve">======
ID#AAAAYJwpwG8
Tom Caffrey    (2022-04-21 14:10:55)
Fill in function given the item</t>
      </text>
    </comment>
    <comment authorId="0" ref="AT42">
      <text>
        <t xml:space="preserve">======
ID#AAAAYJwpwHA
Tom Caffrey    (2022-04-21 14:10:55)
Fill in class given the item</t>
      </text>
    </comment>
    <comment authorId="0" ref="AT117">
      <text>
        <t xml:space="preserve">======
ID#AAAAYJwpwG0
Tom Caffrey    (2022-04-21 14:10:55)
Count objects with prompts</t>
      </text>
    </comment>
    <comment authorId="0" ref="AH47">
      <text>
        <t xml:space="preserve">======
ID#AAAAYJwpwG4
Tom Caffrey    (2022-04-21 14:10:55)
Acquires novel requests without intensive training</t>
      </text>
    </comment>
    <comment authorId="0" ref="AZ52">
      <text>
        <t xml:space="preserve">======
ID#AAAAYJwpwGw
Tom Caffrey    (2022-04-21 14:10:55)
Spontaneous labeling</t>
      </text>
    </comment>
    <comment authorId="0" ref="AN52">
      <text>
        <t xml:space="preserve">======
ID#AAAAYJwpwGs
Tom Caffrey    (2022-04-21 14:10:55)
Labels pictures of common actions</t>
      </text>
    </comment>
    <comment authorId="0" ref="P46">
      <text>
        <t xml:space="preserve">======
ID#AAAAYJwpwGo
Tom Caffrey    (2022-04-21 14:10:55)
Select one of two pictures of common items</t>
      </text>
    </comment>
    <comment authorId="0" ref="P29">
      <text>
        <t xml:space="preserve">======
ID#AAAAYJwpwGk
Tom Caffrey    (2022-04-21 14:10:55)
Specific motor responses in receptive tasks</t>
      </text>
    </comment>
    <comment authorId="0" ref="AT161">
      <text>
        <t xml:space="preserve">======
ID#AAAAYJwpwGg
Tom Caffrey    (2022-04-21 14:10:55)
Roughly copy shapes and patterns</t>
      </text>
    </comment>
    <comment authorId="0" ref="P178">
      <text>
        <t xml:space="preserve">======
ID#AAAAYJwpwGc
Tom Caffrey    (2022-04-21 14:10:55)
Pullover shirts on and take off</t>
      </text>
    </comment>
    <comment authorId="0" ref="AT59">
      <text>
        <t xml:space="preserve">======
ID#AAAAYJwpwGY
Tom Caffrey    (2022-04-21 14:10:55)
Fill in words from songs</t>
      </text>
    </comment>
    <comment authorId="0" ref="V39">
      <text>
        <t xml:space="preserve">======
ID#AAAAYJwpwGU
Barbara C. Hughes    (2022-04-21 14:10:55)
Imitation of the intensity of an action</t>
      </text>
    </comment>
    <comment authorId="0" ref="J53">
      <text>
        <t xml:space="preserve">======
ID#AAAAYJwpwGQ
Tom Caffrey    (2022-04-21 14:10:55)
Fluent matching</t>
      </text>
    </comment>
    <comment authorId="0" ref="AT178">
      <text>
        <t xml:space="preserve">======
ID#AAAAYJwpwGM
Tom Caffrey    (2022-04-21 14:10:55)
Single-piece inset puzzle</t>
      </text>
    </comment>
    <comment authorId="0" ref="AN104">
      <text>
        <t xml:space="preserve">======
ID#AAAAYJwpwGI
oldsjm    (2022-04-21 14:10:55)
Reads &amp; follows simple instructions on worksheets</t>
      </text>
    </comment>
    <comment authorId="0" ref="AB59">
      <text>
        <t xml:space="preserve">======
ID#AAAAYJwpwGA
Tom Caffrey    (2022-04-21 14:10:55)
Imitates sounds on request</t>
      </text>
    </comment>
    <comment authorId="0" ref="P174">
      <text>
        <t xml:space="preserve">======
ID#AAAAYJwpwGE
Tom Caffrey    (2022-04-21 14:10:55)
Coat on and off</t>
      </text>
    </comment>
    <comment authorId="0" ref="AN161">
      <text>
        <t xml:space="preserve">======
ID#AAAAYJwpwF8
Tom Caffrey    (2022-04-21 14:10:55)
Kick ball at target</t>
      </text>
    </comment>
    <comment authorId="0" ref="P113">
      <text>
        <t xml:space="preserve">======
ID#AAAAYJwpwF0
Tom Caffrey    (2022-04-21 14:10:55)
Looks at others in anticipation of completing a reinforcing action</t>
      </text>
    </comment>
    <comment authorId="0" ref="AT115">
      <text>
        <t xml:space="preserve">======
ID#AAAAYJwpwF4
Tom Caffrey    (2022-04-21 14:10:55)
Count out objects from a larger set</t>
      </text>
    </comment>
    <comment authorId="0" ref="P12">
      <text>
        <t xml:space="preserve">======
ID#AAAAYJwpwFw
Tom Caffrey    (2022-04-21 14:10:55)
Selects set of items with a specified characteristic</t>
      </text>
    </comment>
    <comment authorId="0" ref="AT18">
      <text>
        <t xml:space="preserve">======
ID#AAAAYJwpwFo
Tom Caffrey    (2022-04-21 14:10:55)
Answers questions concerning past and upcoming events</t>
      </text>
    </comment>
    <comment authorId="0" ref="AN164">
      <text>
        <t xml:space="preserve">======
ID#AAAAYJwpwFk
Tom Caffrey    (2022-04-21 14:10:55)
Walk sideways</t>
      </text>
    </comment>
    <comment authorId="0" ref="V180">
      <text>
        <t xml:space="preserve">======
ID#AAAAYJwpwFs
Tom Caffrey    (2022-04-21 14:10:55)
Eat finger foods</t>
      </text>
    </comment>
    <comment authorId="0" ref="AN47">
      <text>
        <t xml:space="preserve">======
ID#AAAAYJwpwFY
Tom Caffrey    (2022-04-21 14:10:55)
Labels adjectives</t>
      </text>
    </comment>
    <comment authorId="0" ref="J48">
      <text>
        <t xml:space="preserve">======
ID#AAAAYJwpwFg
Tom Caffrey    (2022-04-21 14:10:55)
Block designs from picture</t>
      </text>
    </comment>
    <comment authorId="0" ref="J40">
      <text>
        <t xml:space="preserve">======
ID#AAAAYJwpwFc
Tom Caffrey    (2022-04-21 14:10:55)
Delayed replication of a sequence</t>
      </text>
    </comment>
    <comment authorId="0" ref="J119">
      <text>
        <t xml:space="preserve">======
ID#AAAAYJwpwFU
Tom Caffrey    (2022-04-21 14:10:55)
Explores toys in the environment</t>
      </text>
    </comment>
    <comment authorId="0" ref="P16">
      <text>
        <t xml:space="preserve">======
ID#AAAAYJwpwFQ
Tom Caffrey    (2022-04-21 14:10:55)
Locate objects from parts of objects in larger, complex picture</t>
      </text>
    </comment>
    <comment authorId="0" ref="AN38">
      <text>
        <t xml:space="preserve">======
ID#AAAAYJwpwFM
Tom Caffrey    (2022-04-21 14:10:55)
Two-component labels (noun adjective)</t>
      </text>
    </comment>
    <comment authorId="0" ref="AT24">
      <text>
        <t xml:space="preserve">======
ID#AAAAYJwpwFI
Tom Caffrey    (2022-04-21 14:10:55)
States item when told its functions, features, or class (multiple features)</t>
      </text>
    </comment>
    <comment authorId="0" ref="AN151">
      <text>
        <t xml:space="preserve">======
ID#AAAAYJwpwFE
oldsjm    (2022-04-21 14:10:55)
Ride a bicycle</t>
      </text>
    </comment>
    <comment authorId="0" ref="AB44">
      <text>
        <t xml:space="preserve">======
ID#AAAAYJwpwFA
Barbara C. Hughes    (2022-04-21 14:10:55)
Imitation of loud vs. soft sounds and words</t>
      </text>
    </comment>
    <comment authorId="0" ref="V179">
      <text>
        <t xml:space="preserve">======
ID#AAAAYJwpwE4
Tom Caffrey    (2022-04-21 14:10:55)
Drink from a straw</t>
      </text>
    </comment>
    <comment authorId="0" ref="AN34">
      <text>
        <t xml:space="preserve">======
ID#AAAAYJwpwE8
Tom Caffrey    (2022-04-21 14:10:55)
Discrimination of question to label aspects of items</t>
      </text>
    </comment>
    <comment authorId="0" ref="V111">
      <text>
        <t xml:space="preserve">======
ID#AAAAYJwpwEw
Tom Caffrey    (2022-04-21 14:10:55)
Raises hand AND names item</t>
      </text>
    </comment>
    <comment authorId="0" ref="P118">
      <text>
        <t xml:space="preserve">======
ID#AAAAYJwpwEs
Tom Caffrey    (2022-04-21 14:10:55)
Takes offfered items</t>
      </text>
    </comment>
    <comment authorId="0" ref="AN112">
      <text>
        <t xml:space="preserve">======
ID#AAAAYJwpwE0
Tom Caffrey    (2022-04-21 14:10:55)
Match individual letters to letters on word card</t>
      </text>
    </comment>
    <comment authorId="0" ref="J43">
      <text>
        <t xml:space="preserve">======
ID#AAAAYJwpwEo
Tom Caffrey    (2022-04-21 14:10:55)
Sort by function</t>
      </text>
    </comment>
    <comment authorId="0" ref="AN167">
      <text>
        <t xml:space="preserve">======
ID#AAAAYJwpwEk
Tom Caffrey    (2022-04-21 14:10:55)
Walk across a balance beam</t>
      </text>
    </comment>
    <comment authorId="0" ref="D50">
      <text>
        <t xml:space="preserve">======
ID#AAAAYJwpwEg
Tom Caffrey    (2022-04-21 14:10:55)
Scans items in array before responding</t>
      </text>
    </comment>
    <comment authorId="0" ref="D119">
      <text>
        <t xml:space="preserve">======
ID#AAAAYJwpwEY
Tom Caffrey    (2022-04-21 14:10:55)
Mean length of response</t>
      </text>
    </comment>
    <comment authorId="0" ref="D56">
      <text>
        <t xml:space="preserve">======
ID#AAAAYJwpwEc
Tom Caffrey    (2022-04-21 14:10:55)
Take a common object when offered</t>
      </text>
    </comment>
    <comment authorId="0" ref="AN115">
      <text>
        <t xml:space="preserve">======
ID#AAAAYJwpwEU
Tom Caffrey    (2022-04-21 14:10:55)
Match words with pictures</t>
      </text>
    </comment>
    <comment authorId="0" ref="AZ51">
      <text>
        <t xml:space="preserve">======
ID#AAAAYJwpwEM
Tom Caffrey    (2022-04-21 14:10:55)
Spontaneous conversation</t>
      </text>
    </comment>
    <comment authorId="0" ref="AT11">
      <text>
        <t xml:space="preserve">======
ID#AAAAYJwpwEI
Barbara C. Hughes    (2022-04-21 14:10:55)
Spontaneous conversation</t>
      </text>
    </comment>
    <comment authorId="0" ref="D111">
      <text>
        <t xml:space="preserve">======
ID#AAAAYJwpwEQ
Tom Caffrey    (2022-04-21 14:10:55)
Verbs-regular past tense</t>
      </text>
    </comment>
    <comment authorId="0" ref="P38">
      <text>
        <t xml:space="preserve">======
ID#AAAAYJwpwEE
Tom Caffrey    (2022-04-21 14:10:55)
Touch own pieces of clothing</t>
      </text>
    </comment>
    <comment authorId="0" ref="AT45">
      <text>
        <t xml:space="preserve">======
ID#AAAAYJwpwEA
Tom Caffrey    (2022-04-21 14:10:55)
Multiple responses given specific categories</t>
      </text>
    </comment>
    <comment authorId="0" ref="AN171">
      <text>
        <t xml:space="preserve">======
ID#AAAAYJwpwDw
Tom Caffrey    (2022-04-21 14:10:55)
Roll a ball</t>
      </text>
    </comment>
    <comment authorId="0" ref="D107">
      <text>
        <t xml:space="preserve">======
ID#AAAAYJwpwD8
Tom Caffrey    (2022-04-21 14:10:55)
Future tense</t>
      </text>
    </comment>
    <comment authorId="0" ref="AB50">
      <text>
        <t xml:space="preserve">======
ID#AAAAYJwpwD4
Barbara C. Hughes    (2022-04-21 14:10:55)
Consonant-vowel-consonant combinations</t>
      </text>
    </comment>
    <comment authorId="0" ref="AN174">
      <text>
        <t xml:space="preserve">======
ID#AAAAYJwpwD0
Tom Caffrey    (2022-04-21 14:10:55)
Walk backward</t>
      </text>
    </comment>
    <comment authorId="0" ref="AT40">
      <text>
        <t xml:space="preserve">======
ID#AAAAYJwpwDs
Tom Caffrey    (2022-04-21 14:10:55)
Name previously observed activities</t>
      </text>
    </comment>
    <comment authorId="0" ref="D46">
      <text>
        <t xml:space="preserve">======
ID#AAAAYJwpwDo
Barbara C. Hughes    (2022-04-21 14:10:55)
Instructor interaction reinforcement</t>
      </text>
    </comment>
    <comment authorId="0" ref="D103">
      <text>
        <t xml:space="preserve">======
ID#AAAAYJwpwDk
Tom Caffrey    (2022-04-21 14:10:55)
Demonstratives</t>
      </text>
    </comment>
    <comment authorId="0" ref="P171">
      <text>
        <t xml:space="preserve">======
ID#AAAAYJwpwDg
Tom Caffrey    (2022-04-21 14:10:55)
use zipper on clothes</t>
      </text>
    </comment>
    <comment authorId="0" ref="AT55">
      <text>
        <t xml:space="preserve">======
ID#AAAAYJwpwDc
Tom Caffrey    (2022-04-21 14:10:55)
Answers questions regarding personal information</t>
      </text>
    </comment>
    <comment authorId="0" ref="AN155">
      <text>
        <t xml:space="preserve">======
ID#AAAAYJwpwDY
Tom Caffrey    (2022-04-21 14:10:55)
Kick a moving ball</t>
      </text>
    </comment>
    <comment authorId="0" ref="AB111">
      <text>
        <t xml:space="preserve">======
ID#AAAAYJwpwDU
Tom Caffrey    (2022-04-21 14:10:55)
Completes a task &amp; brings work to teacher or puts away materials</t>
      </text>
    </comment>
    <comment authorId="0" ref="AH35">
      <text>
        <t xml:space="preserve">======
ID#AAAAYJwpwDM
Tom Caffrey    (2022-04-21 14:10:55)
Requests information using "when"</t>
      </text>
    </comment>
    <comment authorId="0" ref="P87">
      <text>
        <t xml:space="preserve">======
ID#AAAAYJwpwDQ
oldsjm    (2022-04-21 14:10:55)
Asks for information</t>
      </text>
    </comment>
    <comment authorId="0" ref="AT13">
      <text>
        <t xml:space="preserve">======
ID#AAAAYJwpwDI
Barbara C. Hughes    (2022-04-21 14:10:55)
Answers questions with multiple responses in group discussions</t>
      </text>
    </comment>
    <comment authorId="0" ref="AH51">
      <text>
        <t xml:space="preserve">======
ID#AAAAYJwpwDE
Tom Caffrey    (2022-04-21 14:10:55)
Requests missing items needed for a task</t>
      </text>
    </comment>
    <comment authorId="0" ref="AH38">
      <text>
        <t xml:space="preserve">======
ID#AAAAYJwpwDA
Tom Caffrey    (2022-04-21 14:10:55)
Requests using adverbs</t>
      </text>
    </comment>
    <comment authorId="0" ref="AZ59">
      <text>
        <t xml:space="preserve">======
ID#AAAAYJwpwC4
Tom Caffrey    (2022-04-21 14:10:55)
Vocalize identifiable speech sounds</t>
      </text>
    </comment>
    <comment authorId="0" ref="AT160">
      <text>
        <t xml:space="preserve">======
ID#AAAAYJwpwC8
Tom Caffrey    (2022-04-21 14:10:55)
Paste shapes on outlined picture</t>
      </text>
    </comment>
    <comment authorId="0" ref="J177">
      <text>
        <t xml:space="preserve">======
ID#AAAAYJwpwCw
Tom Caffrey    (2022-04-21 14:10:55)
Writes in missing letters of words</t>
      </text>
    </comment>
    <comment authorId="0" ref="AH43">
      <text>
        <t xml:space="preserve">======
ID#AAAAYJwpwC0
Tom Caffrey    (2022-04-21 14:10:55)
Requests using prepositions</t>
      </text>
    </comment>
    <comment authorId="0" ref="AT49">
      <text>
        <t xml:space="preserve">======
ID#AAAAYJwpwCs
Tom Caffrey    (2022-04-21 14:10:55)
Answers "what" questions regarding functions</t>
      </text>
    </comment>
    <comment authorId="0" ref="J54">
      <text>
        <t xml:space="preserve">======
ID#AAAAYJwpwCk
Tom Caffrey    (2022-04-21 14:10:55)
Match pictures to objects</t>
      </text>
    </comment>
    <comment authorId="0" ref="V48">
      <text>
        <t xml:space="preserve">======
ID#AAAAYJwpwCg
Tom Caffrey    (2022-04-21 14:10:55)
Motor imitation of fine motor movement</t>
      </text>
    </comment>
    <comment authorId="0" ref="D171">
      <text>
        <t xml:space="preserve">======
ID#AAAAYJwpwCo
oldsjm    (2022-04-21 14:10:55)
Print numbers</t>
      </text>
    </comment>
    <comment authorId="0" ref="J42">
      <text>
        <t xml:space="preserve">======
ID#AAAAYJwpwCY
Tom Caffrey    (2022-04-21 14:10:55)
Sort by feature</t>
      </text>
    </comment>
    <comment authorId="0" ref="D115">
      <text>
        <t xml:space="preserve">======
ID#AAAAYJwpwCc
Tom Caffrey    (2022-04-21 14:10:55)
Regular plurals</t>
      </text>
    </comment>
    <comment authorId="0" ref="P23">
      <text>
        <t xml:space="preserve">======
ID#AAAAYJwpwCU
Tom Caffrey    (2022-04-21 14:10:55)
Select by function</t>
      </text>
    </comment>
    <comment authorId="0" ref="J116">
      <text>
        <t xml:space="preserve">======
ID#AAAAYJwpwCQ
Tom Caffrey    (2022-04-21 14:10:55)
Independent indoor leisure activities</t>
      </text>
    </comment>
    <comment authorId="0" ref="AN109">
      <text>
        <t xml:space="preserve">======
ID#AAAAYJwpwCM
Tom Caffrey    (2022-04-21 14:10:55)
Decode words</t>
      </text>
    </comment>
    <comment authorId="0" ref="AB177">
      <text>
        <t xml:space="preserve">======
ID#AAAAYJwpwCI
Tom Caffrey    (2022-04-21 14:10:55)
Dry face</t>
      </text>
    </comment>
    <comment authorId="0" ref="P169">
      <text>
        <t xml:space="preserve">======
ID#AAAAYJwpwCE
Tom Caffrey    (2022-04-21 14:10:55)
Use snaps</t>
      </text>
    </comment>
    <comment authorId="0" ref="AH178">
      <text>
        <t xml:space="preserve">======
ID#AAAAYJwpwCA
Tom Caffrey    (2022-04-21 14:10:55)
Independently use familiar restroom for urination</t>
      </text>
    </comment>
    <comment authorId="0" ref="V55">
      <text>
        <t xml:space="preserve">======
ID#AAAAYJwpwB8
Tom Caffrey    (2022-04-21 14:10:55)
Imitation of arm and hand movements</t>
      </text>
    </comment>
    <comment authorId="0" ref="AT54">
      <text>
        <t xml:space="preserve">======
ID#AAAAYJwpwB4
Tom Caffrey    (2022-04-21 14:10:55)
Fill in words describing common activities</t>
      </text>
    </comment>
    <comment authorId="0" ref="P44">
      <text>
        <t xml:space="preserve">======
ID#AAAAYJwpwB0
Tom Caffrey    (2022-04-21 14:10:55)
Select one of six or more objects on a table</t>
      </text>
    </comment>
    <comment authorId="0" ref="AH40">
      <text>
        <t xml:space="preserve">======
ID#AAAAYJwpwBw
Tom Caffrey    (2022-04-21 14:10:55)
Requests information using “Where"</t>
      </text>
    </comment>
    <comment authorId="0" ref="V175">
      <text>
        <t xml:space="preserve">======
ID#AAAAYJwpwBs
Tom Caffrey    (2022-04-21 14:10:55)
Pour liquid into a cup</t>
      </text>
    </comment>
    <comment authorId="0" ref="P90">
      <text>
        <t xml:space="preserve">======
ID#AAAAYJwpwBk
oldsjm    (2022-04-21 14:10:55)
Delivers a message</t>
      </text>
    </comment>
    <comment authorId="0" ref="AH114">
      <text>
        <t xml:space="preserve">======
ID#AAAAYJwpwBo
Tom Caffrey    (2022-04-21 14:10:55)
Generalization of language skills</t>
      </text>
    </comment>
    <comment authorId="0" ref="P105">
      <text>
        <t xml:space="preserve">======
ID#AAAAYJwpwBg
Tom Caffrey    (2022-04-21 14:10:55)
Active attention seeking</t>
      </text>
    </comment>
    <comment authorId="0" ref="P4">
      <text>
        <t xml:space="preserve">======
ID#AAAAYJwpwBc
Barbara C. Hughes    (2022-04-21 14:10:55)
Select non-examples</t>
      </text>
    </comment>
    <comment authorId="0" ref="D59">
      <text>
        <t xml:space="preserve">======
ID#AAAAYJwpwBY
Tom Caffrey    (2022-04-21 14:10:55)
Take reinforcer when offered</t>
      </text>
    </comment>
    <comment authorId="0" ref="D48">
      <text>
        <t xml:space="preserve">======
ID#AAAAYJwpwBU
Barbara C. Hughes    (2022-04-21 14:10:55)
Variation in reinforement 
(non-edible)</t>
      </text>
    </comment>
    <comment authorId="0" ref="AN59">
      <text>
        <t xml:space="preserve">======
ID#AAAAYJwpwBQ
Tom Caffrey    (2022-04-21 14:10:55)
Labels reinforcers</t>
      </text>
    </comment>
    <comment authorId="0" ref="AH31">
      <text>
        <t xml:space="preserve">======
ID#AAAAYJwpwBM
Barbara C. Hughes    (2022-04-21 14:10:55)
Spontaneous requests</t>
      </text>
    </comment>
    <comment authorId="0" ref="AN24">
      <text>
        <t xml:space="preserve">======
ID#AAAAYJwpwBI
Tom Caffrey    (2022-04-21 14:10:55)
Uses carrier phrases when using prepositions</t>
      </text>
    </comment>
    <comment authorId="0" ref="AN106">
      <text>
        <t xml:space="preserve">======
ID#AAAAYJwpwBE
Tom Caffrey    (2022-04-21 14:10:55)
Fills-in missing words</t>
      </text>
    </comment>
    <comment authorId="0" ref="AT34">
      <text>
        <t xml:space="preserve">======
ID#AAAAYJwpwBA
Tom Caffrey    (2022-04-21 14:10:55)
Answeres questions with multiple responses concerning his immediate community</t>
      </text>
    </comment>
    <comment authorId="0" ref="AH53">
      <text>
        <t xml:space="preserve">======
ID#AAAAYJwpwA8
Tom Caffrey    (2022-04-21 14:10:55)
Requests with eye contact</t>
      </text>
    </comment>
    <comment authorId="0" ref="V113">
      <text>
        <t xml:space="preserve">======
ID#AAAAYJwpwA4
Tom Caffrey    (2022-04-21 14:10:55)
Raises hand to get teacher attention to do an activity</t>
      </text>
    </comment>
    <comment authorId="0" ref="AN176">
      <text>
        <t xml:space="preserve">======
ID#AAAAYJwpwAw
Tom Caffrey    (2022-04-21 14:10:55)
Jump forward</t>
      </text>
    </comment>
    <comment authorId="0" ref="AH180">
      <text>
        <t xml:space="preserve">======
ID#AAAAYJwpwA0
Tom Caffrey    (2022-04-21 14:10:55)
Urinate in toilet</t>
      </text>
    </comment>
    <comment authorId="0" ref="AN168">
      <text>
        <t xml:space="preserve">======
ID#AAAAYJwpwAs
Tom Caffrey    (2022-04-21 14:10:55)
Squat</t>
      </text>
    </comment>
    <comment authorId="0" ref="AT164">
      <text>
        <t xml:space="preserve">======
ID#AAAAYJwpwAo
Tom Caffrey    (2022-04-21 14:10:55)
Trace lines with 
a finger</t>
      </text>
    </comment>
    <comment authorId="0" ref="P36">
      <text>
        <t xml:space="preserve">======
ID#AAAAYJwpwAk
Tom Caffrey    (2022-04-21 14:10:55)
Select adjectives</t>
      </text>
    </comment>
    <comment authorId="0" ref="AT21">
      <text>
        <t xml:space="preserve">======
ID#AAAAYJwpwAg
Tom Caffrey    (2022-04-21 14:10:55)
Answers questions containing three critical stimuli (multiple component questions with multiple responses)</t>
      </text>
    </comment>
    <comment authorId="0" ref="AZ53">
      <text>
        <t xml:space="preserve">======
ID#AAAAYJwpwAc
Tom Caffrey    (2022-04-21 14:10:55)
Spontaneous requests</t>
      </text>
    </comment>
    <comment authorId="0" ref="D100">
      <text>
        <t xml:space="preserve">======
ID#AAAAYJwpwAY
Tom Caffrey    (2022-04-21 14:10:55)
Label emotional state associated with a verbal response</t>
      </text>
    </comment>
    <comment authorId="0" ref="P13">
      <text>
        <t xml:space="preserve">======
ID#AAAAYJwpwAU
Tom Caffrey    (2022-04-21 14:10:55)
Selects single items with two specified characteristics</t>
      </text>
    </comment>
    <comment authorId="0" ref="D176">
      <text>
        <t xml:space="preserve">======
ID#AAAAYJwpwAQ
Tom Caffrey    (2022-04-21 14:10:55)
Copy straight lines</t>
      </text>
    </comment>
    <comment authorId="0" ref="V58">
      <text>
        <t xml:space="preserve">======
ID#AAAAYJwpwAM
Tom Caffrey    (2022-04-21 14:10:55)
Motor imitation using objects in a discrimination</t>
      </text>
    </comment>
    <comment authorId="0" ref="AN177">
      <text>
        <t xml:space="preserve">======
ID#AAAAYJwpwAI
Tom Caffrey    (2022-04-21 14:10:55)
Roll sideways</t>
      </text>
    </comment>
    <comment authorId="0" ref="J47">
      <text>
        <t xml:space="preserve">======
ID#AAAAYJwpwAE
Tom Caffrey    (2022-04-21 14:10:55)
Sequence pattern to match a visual model</t>
      </text>
    </comment>
    <comment authorId="0" ref="AN117">
      <text>
        <t xml:space="preserve">======
ID#AAAAYJwpv_0
Tom Caffrey    (2022-04-21 14:10:55)
Receptive sounds of letters</t>
      </text>
    </comment>
    <comment authorId="0" ref="D180">
      <text>
        <t xml:space="preserve">======
ID#AAAAYJwpv_8
Tom Caffrey    (2022-04-21 14:10:55)
Mark on paper</t>
      </text>
    </comment>
    <comment authorId="0" ref="AT111">
      <text>
        <t xml:space="preserve">======
ID#AAAAYJwpv_4
Tom Caffrey    (2022-04-21 14:10:55)
"more"</t>
      </text>
    </comment>
    <comment authorId="0" ref="AT43">
      <text>
        <t xml:space="preserve">======
ID#AAAAYJwpwAA
Tom Caffrey    (2022-04-21 14:10:55)
Fill in item given its feature</t>
      </text>
    </comment>
    <comment authorId="0" ref="AN16">
      <text>
        <t xml:space="preserve">======
ID#AAAAYJwpv_w
Barbara C. Hughes    (2022-04-21 14:10:55)
Mulitple component naming (three component labels)</t>
      </text>
    </comment>
    <comment authorId="0" ref="AT155">
      <text>
        <t xml:space="preserve">======
ID#AAAAYJwpv_s
Tom Caffrey    (2022-04-21 14:10:55)
Fold a piece of paper</t>
      </text>
    </comment>
    <comment authorId="0" ref="AH52">
      <text>
        <t xml:space="preserve">======
ID#AAAAYJwpv_g
Tom Caffrey    (2022-04-21 14:10:55)
Requests others to perform and action</t>
      </text>
    </comment>
    <comment authorId="0" ref="J38">
      <text>
        <t xml:space="preserve">======
ID#AAAAYJwpv_o
Barbara C. Hughes    (2022-04-21 14:10:55)
Extend a sequence pattern</t>
      </text>
    </comment>
    <comment authorId="0" ref="AN23">
      <text>
        <t xml:space="preserve">======
ID#AAAAYJwpv_k
Tom Caffrey    (2022-04-21 14:10:55)
Labels pronouns</t>
      </text>
    </comment>
    <comment authorId="0" ref="AT14">
      <text>
        <t xml:space="preserve">======
ID#AAAAYJwpv_c
Barbara C. Hughes    (2022-04-21 14:10:55)
Answers questions with multiple responses concerning current events</t>
      </text>
    </comment>
    <comment authorId="0" ref="D57">
      <text>
        <t xml:space="preserve">======
ID#AAAAYJwpv_Y
Tom Caffrey    (2022-04-21 14:10:55)
Look at a non-reinforcing item</t>
      </text>
    </comment>
    <comment authorId="0" ref="AN173">
      <text>
        <t xml:space="preserve">======
ID#AAAAYJwpv_Q
Tom Caffrey    (2022-04-21 14:10:55)
Hop on two feet</t>
      </text>
    </comment>
    <comment authorId="0" ref="J109">
      <text>
        <t xml:space="preserve">======
ID#AAAAYJwpv_M
Barbara C. Hughes    (2022-04-21 14:10:55)
Plays with toys and talks with peers</t>
      </text>
    </comment>
    <comment authorId="0" ref="AN158">
      <text>
        <t xml:space="preserve">======
ID#AAAAYJwpv_U
Tom Caffrey    (2022-04-21 14:10:55)
Throw ball underhand</t>
      </text>
    </comment>
    <comment authorId="0" ref="D102">
      <text>
        <t xml:space="preserve">======
ID#AAAAYJwpv_I
Tom Caffrey    (2022-04-21 14:10:55)
Label strength of a verbal response</t>
      </text>
    </comment>
    <comment authorId="0" ref="AT38">
      <text>
        <t xml:space="preserve">======
ID#AAAAYJwpv_E
Tom Caffrey    (2022-04-21 14:10:55)
With visual display, makes related statements   (not naming)</t>
      </text>
    </comment>
    <comment authorId="0" ref="AT33">
      <text>
        <t xml:space="preserve">======
ID#AAAAYJwpv_A
Tom Caffrey    (2022-04-21 14:10:55)
States class given multiple class members</t>
      </text>
    </comment>
    <comment authorId="0" ref="P89">
      <text>
        <t xml:space="preserve">======
ID#AAAAYJwpv-8
oldsjm    (2022-04-21 14:10:55)
Waits for break in conversation to interrupt</t>
      </text>
    </comment>
    <comment authorId="0" ref="AB178">
      <text>
        <t xml:space="preserve">======
ID#AAAAYJwpv-4
Tom Caffrey    (2022-04-21 14:10:55)
Wash face</t>
      </text>
    </comment>
    <comment authorId="0" ref="V176">
      <text>
        <t xml:space="preserve">======
ID#AAAAYJwpv-0
Tom Caffrey    (2022-04-21 14:10:55)
Spread with a knife</t>
      </text>
    </comment>
    <comment authorId="0" ref="AT36">
      <text>
        <t xml:space="preserve">======
ID#AAAAYJwpv-w
Tom Caffrey    (2022-04-21 14:10:55)
Answers "what" questions relevant to activities that he can do in the community</t>
      </text>
    </comment>
    <comment authorId="0" ref="P33">
      <text>
        <t xml:space="preserve">======
ID#AAAAYJwpv-s
Tom Caffrey    (2022-04-21 14:10:55)
Follow an instruction to go to a person</t>
      </text>
    </comment>
    <comment authorId="0" ref="AT50">
      <text>
        <t xml:space="preserve">======
ID#AAAAYJwpv-o
Tom Caffrey    (2022-04-21 14:10:55)
Answers "what" questions regarding items found in home</t>
      </text>
    </comment>
    <comment authorId="0" ref="P45">
      <text>
        <t xml:space="preserve">======
ID#AAAAYJwpv-g
Tom Caffrey    (2022-04-21 14:10:55)
Touch own body parts</t>
      </text>
    </comment>
    <comment authorId="0" ref="AN33">
      <text>
        <t xml:space="preserve">======
ID#AAAAYJwpv-c
Tom Caffrey    (2022-04-21 14:10:55)
Labels the class of a set of items</t>
      </text>
    </comment>
    <comment authorId="0" ref="AT41">
      <text>
        <t xml:space="preserve">======
ID#AAAAYJwpv-k
Tom Caffrey    (2022-04-21 14:10:55)
Name items previously observed</t>
      </text>
    </comment>
    <comment authorId="0" ref="P170">
      <text>
        <t xml:space="preserve">======
ID#AAAAYJwpv-U
Tom Caffrey    (2022-04-21 14:10:55)
Fasten buttons</t>
      </text>
    </comment>
    <comment authorId="0" ref="AB40">
      <text>
        <t xml:space="preserve">======
ID#AAAAYJwpv-Q
Barbara C. Hughes    (2022-04-21 14:10:55)
Spontaneous imitation of phrases</t>
      </text>
    </comment>
    <comment authorId="0" ref="AB179">
      <text>
        <t xml:space="preserve">======
ID#AAAAYJwpv-Y
Tom Caffrey    (2022-04-21 14:10:55)
Dry hands</t>
      </text>
    </comment>
    <comment authorId="0" ref="AN180">
      <text>
        <t xml:space="preserve">======
ID#AAAAYJwpv-M
Tom Caffrey    (2022-04-21 14:10:55)
Walk forward with appropriate gait</t>
      </text>
    </comment>
    <comment authorId="0" ref="AT114">
      <text>
        <t xml:space="preserve">======
ID#AAAAYJwpv-E
Tom Caffrey    (2022-04-21 14:10:55)
Names numerals in sequence</t>
      </text>
    </comment>
    <comment authorId="0" ref="AT25">
      <text>
        <t xml:space="preserve">======
ID#AAAAYJwpv-A
Tom Caffrey    (2022-04-21 14:10:55)
States avctivity when told sequence of actions</t>
      </text>
    </comment>
    <comment authorId="0" ref="J44">
      <text>
        <t xml:space="preserve">======
ID#AAAAYJwpv-I
Tom Caffrey    (2022-04-21 14:10:55)
Match associated pictures</t>
      </text>
    </comment>
    <comment authorId="0" ref="AN56">
      <text>
        <t xml:space="preserve">======
ID#AAAAYJwpv94
Tom Caffrey    (2022-04-21 14:10:55)
Labels pictures of common items</t>
      </text>
    </comment>
    <comment authorId="0" ref="P7">
      <text>
        <t xml:space="preserve">======
ID#AAAAYJwpv90
Barbara C. Hughes    (2022-04-21 14:10:55)
Select pictures representing a location or an activity presented in a scene</t>
      </text>
    </comment>
    <comment authorId="0" ref="AN18">
      <text>
        <t xml:space="preserve">======
ID#AAAAYJwpv98
Tom Caffrey    (2022-04-21 14:10:55)
Labels emotions of others</t>
      </text>
    </comment>
    <comment authorId="0" ref="AT169">
      <text>
        <t xml:space="preserve">======
ID#AAAAYJwpv9s
Tom Caffrey    (2022-04-21 14:10:55)
Snips with scissors</t>
      </text>
    </comment>
    <comment authorId="0" ref="AB46">
      <text>
        <t xml:space="preserve">======
ID#AAAAYJwpv9w
Barbara C. Hughes    (2022-04-21 14:10:55)
Imitation of number sequences on request</t>
      </text>
    </comment>
    <comment authorId="0" ref="V37">
      <text>
        <t xml:space="preserve">======
ID#AAAAYJwpv9k
Barbara C. Hughes    (2022-04-21 14:10:55)
Simultaneous imitation of motor movement and vocalization</t>
      </text>
    </comment>
    <comment authorId="0" ref="P25">
      <text>
        <t xml:space="preserve">======
ID#AAAAYJwpv9o
Tom Caffrey    (2022-04-21 14:10:55)
Select one of three pictures representing actions</t>
      </text>
    </comment>
    <comment authorId="0" ref="D175">
      <text>
        <t xml:space="preserve">======
ID#AAAAYJwpv9c
Tom Caffrey    (2022-04-21 14:10:55)
Copy curved lines</t>
      </text>
    </comment>
    <comment authorId="0" ref="J176">
      <text>
        <t xml:space="preserve">======
ID#AAAAYJwpv9g
Tom Caffrey    (2022-04-21 14:10:55)
Spells words vocally</t>
      </text>
    </comment>
    <comment authorId="0" ref="AN26">
      <text>
        <t xml:space="preserve">======
ID#AAAAYJwpv9Y
Tom Caffrey    (2022-04-21 14:10:55)
Uses carrier phrase when labeling nouns with verbs or adjectives.</t>
      </text>
    </comment>
    <comment authorId="0" ref="AT17">
      <text>
        <t xml:space="preserve">======
ID#AAAAYJwpv9U
Barbara C. Hughes    (2022-04-21 14:10:55)
Maintains a conversation with an adult or peer</t>
      </text>
    </comment>
    <comment authorId="0" ref="AN163">
      <text>
        <t xml:space="preserve">======
ID#AAAAYJwpv9Q
Tom Caffrey    (2022-04-21 14:10:55)
Gallop</t>
      </text>
    </comment>
    <comment authorId="0" ref="AT104">
      <text>
        <t xml:space="preserve">======
ID#AAAAYJwpv9M
Tom Caffrey    (2022-04-21 14:10:55)
"different"</t>
      </text>
    </comment>
    <comment authorId="0" ref="AT159">
      <text>
        <t xml:space="preserve">======
ID#AAAAYJwpv9I
Tom Caffrey    (2022-04-21 14:10:55)
Paste shapes on plain paper picture</t>
      </text>
    </comment>
    <comment authorId="0" ref="P114">
      <text>
        <t xml:space="preserve">======
ID#AAAAYJwpv88
Tom Caffrey    (2022-04-21 14:10:55)
Physically approaches and engages others</t>
      </text>
    </comment>
    <comment authorId="0" ref="V40">
      <text>
        <t xml:space="preserve">======
ID#AAAAYJwpv9A
Barbara C. Hughes    (2022-04-21 14:10:55)
Imitation of a sequence of actions</t>
      </text>
    </comment>
    <comment authorId="0" ref="AT153">
      <text>
        <t xml:space="preserve">======
ID#AAAAYJwpv9E
Tom Caffrey    (2022-04-21 14:10:55)
Accurately copy shapes &amp; patterns</t>
      </text>
    </comment>
    <comment authorId="0" ref="D116">
      <text>
        <t xml:space="preserve">======
ID#AAAAYJwpv8w
Tom Caffrey    (2022-04-21 14:10:55)
Verbs-present progressive</t>
      </text>
    </comment>
    <comment authorId="0" ref="J105">
      <text>
        <t xml:space="preserve">======
ID#AAAAYJwpv80
Barbara C. Hughes    (2022-04-21 14:10:55)
Board games</t>
      </text>
    </comment>
    <comment authorId="0" ref="P99">
      <text>
        <t xml:space="preserve">======
ID#AAAAYJwpv84
Tom Caffrey    (2022-04-21 14:10:55)
Initiates greetings</t>
      </text>
    </comment>
    <comment authorId="0" ref="D54">
      <text>
        <t xml:space="preserve">======
ID#AAAAYJwpv8s
Tom Caffrey    (2022-04-21 14:10:55)
Responds to instructor controlled reinforcers</t>
      </text>
    </comment>
    <comment authorId="0" ref="P107">
      <text>
        <t xml:space="preserve">======
ID#AAAAYJwpv8o
Tom Caffrey    (2022-04-21 14:10:55)
Sharing-gives up items to others</t>
      </text>
    </comment>
    <comment authorId="0" ref="P98">
      <text>
        <t xml:space="preserve">======
ID#AAAAYJwpv8k
Tom Caffrey    (2022-04-21 14:10:55)
Joins peers in an activitiy</t>
      </text>
    </comment>
    <comment authorId="0" ref="P117">
      <text>
        <t xml:space="preserve">======
ID#AAAAYJwpv8g
Tom Caffrey    (2022-04-21 14:10:55)
Tolerates/responds appropriately to positive touches by peers or siblings</t>
      </text>
    </comment>
    <comment authorId="0" ref="AN103">
      <text>
        <t xml:space="preserve">======
ID#AAAAYJwpv8c
oldsjm    (2022-04-21 14:10:55)
Read passages and 
answer questions 
regarding the sentence</t>
      </text>
    </comment>
    <comment authorId="0" ref="J36">
      <text>
        <t xml:space="preserve">======
ID#AAAAYJwpv8Y
Barbara C. Hughes    (2022-04-21 14:10:55)
Dependent matching sequence</t>
      </text>
    </comment>
    <comment authorId="0" ref="J46">
      <text>
        <t xml:space="preserve">======
ID#AAAAYJwpv8U
Tom Caffrey    (2022-04-21 14:10:55)
Puzzles with multiple pieces which must be juxtaposed</t>
      </text>
    </comment>
    <comment authorId="0" ref="AH45">
      <text>
        <t xml:space="preserve">======
ID#AAAAYJwpv8Q
Tom Caffrey    (2022-04-21 14:10:55)
Requests others to remove and item or stop an activity</t>
      </text>
    </comment>
    <comment authorId="0" ref="AN15">
      <text>
        <t xml:space="preserve">======
ID#AAAAYJwpv8M
Barbara C. Hughes    (2022-04-21 14:10:55)
Labels (three component+) with carrier phrase labels)</t>
      </text>
    </comment>
    <comment authorId="0" ref="AT35">
      <text>
        <t xml:space="preserve">======
ID#AAAAYJwpv8I
Tom Caffrey    (2022-04-21 14:10:55)
Answers "where" questions reguarding activities and the items found in the community</t>
      </text>
    </comment>
    <comment authorId="0" ref="D174">
      <text>
        <t xml:space="preserve">======
ID#AAAAYJwpv8A
Tom Caffrey    (2022-04-21 14:10:55)
Copy letters (with sample)</t>
      </text>
    </comment>
    <comment authorId="0" ref="AB47">
      <text>
        <t xml:space="preserve">======
ID#AAAAYJwpv8E
Barbara C. Hughes    (2022-04-21 14:10:55)
Imitation of phrases on request</t>
      </text>
    </comment>
    <comment authorId="0" ref="AN29">
      <text>
        <t xml:space="preserve">======
ID#AAAAYJwpv70
Tom Caffrey    (2022-04-21 14:10:55)
Labels community helpers</t>
      </text>
    </comment>
    <comment authorId="0" ref="V178">
      <text>
        <t xml:space="preserve">======
ID#AAAAYJwpv78
Tom Caffrey    (2022-04-21 14:10:55)
Drink from a cup</t>
      </text>
    </comment>
    <comment authorId="0" ref="AZ54">
      <text>
        <t xml:space="preserve">======
ID#AAAAYJwpv74
Tom Caffrey    (2022-04-21 14:10:55)
Spontaneous vocal imitation</t>
      </text>
    </comment>
    <comment authorId="0" ref="P119">
      <text>
        <t xml:space="preserve">======
ID#AAAAYJwpv7o
Tom Caffrey    (2022-04-21 14:10:55)
Appropriate when near peers or siblings</t>
      </text>
    </comment>
    <comment authorId="0" ref="AH115">
      <text>
        <t xml:space="preserve">======
ID#AAAAYJwpv7w
Tom Caffrey    (2022-04-21 14:10:55)
Generalized response forms</t>
      </text>
    </comment>
    <comment authorId="0" ref="V173">
      <text>
        <t xml:space="preserve">======
ID#AAAAYJwpv7s
Tom Caffrey    (2022-04-21 14:10:55)
Take prepared lunch to table</t>
      </text>
    </comment>
    <comment authorId="0" ref="AT47">
      <text>
        <t xml:space="preserve">======
ID#AAAAYJwpv7k
Tom Caffrey    (2022-04-21 14:10:55)
Answers "where" questions regarding activities done at home or school</t>
      </text>
    </comment>
    <comment authorId="0" ref="AT176">
      <text>
        <t xml:space="preserve">======
ID#AAAAYJwpv7g
Tom Caffrey    (2022-04-21 14:10:55)
Blocks on block 
design cards</t>
      </text>
    </comment>
    <comment authorId="0" ref="AT168">
      <text>
        <t xml:space="preserve">======
ID#AAAAYJwpv7c
Tom Caffrey    (2022-04-21 14:10:55)
Stacks blocks</t>
      </text>
    </comment>
    <comment authorId="0" ref="J58">
      <text>
        <t xml:space="preserve">======
ID#AAAAYJwpv7Q
Tom Caffrey    (2022-04-21 14:10:55)
Form box</t>
      </text>
    </comment>
    <comment authorId="0" ref="J52">
      <text>
        <t xml:space="preserve">======
ID#AAAAYJwpv7Y
Tom Caffrey    (2022-04-21 14:10:55)
Sort non-identical items</t>
      </text>
    </comment>
    <comment authorId="0" ref="V118">
      <text>
        <t xml:space="preserve">======
ID#AAAAYJwpv7U
Tom Caffrey    (2022-04-21 14:10:55)
Sits appropriately in large group</t>
      </text>
    </comment>
    <comment authorId="0" ref="AN25">
      <text>
        <t xml:space="preserve">======
ID#AAAAYJwpv7M
Tom Caffrey    (2022-04-21 14:10:55)
Labels prepositions</t>
      </text>
    </comment>
    <comment authorId="0" ref="J179">
      <text>
        <t xml:space="preserve">======
ID#AAAAYJwpv7I
Tom Caffrey    (2022-04-21 14:10:55)
Fill in missing letter of words</t>
      </text>
    </comment>
    <comment authorId="0" ref="V38">
      <text>
        <t xml:space="preserve">======
ID#AAAAYJwpv7E
Barbara C. Hughes    (2022-04-21 14:10:55)
Imitation of the number of repetitions of a motor movement</t>
      </text>
    </comment>
    <comment authorId="0" ref="AB45">
      <text>
        <t xml:space="preserve">======
ID#AAAAYJwpv68
Barbara C. Hughes    (2022-04-21 14:10:55)
Imitation of short and fast vs. elongated/slow words</t>
      </text>
    </comment>
    <comment authorId="0" ref="P26">
      <text>
        <t xml:space="preserve">======
ID#AAAAYJwpv7A
Tom Caffrey    (2022-04-21 14:10:55)
Demonstrate a specified pretend action</t>
      </text>
    </comment>
    <comment authorId="0" ref="AB49">
      <text>
        <t xml:space="preserve">======
ID#AAAAYJwpv60
Barbara C. Hughes    (2022-04-21 14:10:55)
Imitates consonant blends</t>
      </text>
    </comment>
    <comment authorId="0" ref="P176">
      <text>
        <t xml:space="preserve">======
ID#AAAAYJwpv64
Tom Caffrey    (2022-04-21 14:10:55)
Pants on and off</t>
      </text>
    </comment>
    <comment authorId="0" ref="J55">
      <text>
        <t xml:space="preserve">======
ID#AAAAYJwpv6o
Tom Caffrey    (2022-04-21 14:10:55)
Match identical pictures to sample</t>
      </text>
    </comment>
    <comment authorId="0" ref="V51">
      <text>
        <t xml:space="preserve">======
ID#AAAAYJwpv6w
Tom Caffrey    (2022-04-21 14:10:55)
Motor imitation of head movements</t>
      </text>
    </comment>
    <comment authorId="0" ref="AN162">
      <text>
        <t xml:space="preserve">======
ID#AAAAYJwpv6s
Tom Caffrey    (2022-04-21 14:10:55)
Balance on one foot</t>
      </text>
    </comment>
    <comment authorId="0" ref="AH59">
      <text>
        <t xml:space="preserve">======
ID#AAAAYJwpv6k
Tom Caffrey    (2022-04-21 14:10:55)
Requests by indicating</t>
      </text>
    </comment>
    <comment authorId="0" ref="D104">
      <text>
        <t xml:space="preserve">======
ID#AAAAYJwpv6g
Tom Caffrey    (2022-04-21 14:10:55)
Comparatives</t>
      </text>
    </comment>
    <comment authorId="0" ref="V52">
      <text>
        <t xml:space="preserve">======
ID#AAAAYJwpv6c
Tom Caffrey    (2022-04-21 14:10:55)
Imitation of gross motor actions modeled in a mirror</t>
      </text>
    </comment>
    <comment authorId="0" ref="P27">
      <text>
        <t xml:space="preserve">======
ID#AAAAYJwpv6Y
Tom Caffrey    (2022-04-21 14:10:55)
Multiple actions with an object</t>
      </text>
    </comment>
    <comment authorId="0" ref="AT170">
      <text>
        <t xml:space="preserve">======
ID#AAAAYJwpv6U
Tom Caffrey    (2022-04-21 14:10:55)
Open "Ziploc" type bags</t>
      </text>
    </comment>
    <comment authorId="0" ref="P21">
      <text>
        <t xml:space="preserve">======
ID#AAAAYJwpv6I
Tom Caffrey    (2022-04-21 14:10:55)
Select by class</t>
      </text>
    </comment>
    <comment authorId="0" ref="AH36">
      <text>
        <t xml:space="preserve">======
ID#AAAAYJwpv6Q
Tom Caffrey    (2022-04-21 14:10:55)
Requests information using "which"</t>
      </text>
    </comment>
    <comment authorId="0" ref="AT56">
      <text>
        <t xml:space="preserve">======
ID#AAAAYJwpv6M
Tom Caffrey    (2022-04-21 14:10:55)
Animal sounds</t>
      </text>
    </comment>
    <comment authorId="0" ref="D114">
      <text>
        <t xml:space="preserve">======
ID#AAAAYJwpv6A
Tom Caffrey    (2022-04-21 14:10:55)
Verbs-irregular past tense</t>
      </text>
    </comment>
    <comment authorId="0" ref="AT31">
      <text>
        <t xml:space="preserve">======
ID#AAAAYJwpv6E
Tom Caffrey    (2022-04-21 14:10:55)
Answers "when" questions</t>
      </text>
    </comment>
    <comment authorId="0" ref="J175">
      <text>
        <t xml:space="preserve">======
ID#AAAAYJwpv58
Tom Caffrey    (2022-04-21 14:10:55)
Spell words in a written form</t>
      </text>
    </comment>
    <comment authorId="0" ref="P14">
      <text>
        <t xml:space="preserve">======
ID#AAAAYJwpv54
Tom Caffrey    (2022-04-21 14:10:55)
Selects all examples of an item</t>
      </text>
    </comment>
    <comment authorId="0" ref="D109">
      <text>
        <t xml:space="preserve">======
ID#AAAAYJwpv50
Tom Caffrey    (2022-04-21 14:10:55)
Negatives</t>
      </text>
    </comment>
    <comment authorId="0" ref="AH49">
      <text>
        <t xml:space="preserve">======
ID#AAAAYJwpv5o
Tom Caffrey    (2022-04-21 14:10:55)
Requests using sentences</t>
      </text>
    </comment>
    <comment authorId="0" ref="AT162">
      <text>
        <t xml:space="preserve">======
ID#AAAAYJwpv5w
Tom Caffrey    (2022-04-21 14:10:55)
Remove wrappers</t>
      </text>
    </comment>
    <comment authorId="0" ref="P100">
      <text>
        <t xml:space="preserve">======
ID#AAAAYJwpv5s
Tom Caffrey    (2022-04-21 14:10:55)
sharing-offers items to otherS</t>
      </text>
    </comment>
    <comment authorId="0" ref="AN37">
      <text>
        <t xml:space="preserve">======
ID#AAAAYJwpv5g
Tom Caffrey    (2022-04-21 14:10:55)
Labels by indicating yes/no</t>
      </text>
    </comment>
    <comment authorId="0" ref="V117">
      <text>
        <t xml:space="preserve">======
ID#AAAAYJwpv5k
Tom Caffrey    (2022-04-21 14:10:55)
Attends to teacher in group</t>
      </text>
    </comment>
    <comment authorId="0" ref="J41">
      <text>
        <t xml:space="preserve">======
ID#AAAAYJwpv5Y
Tom Caffrey    (2022-04-21 14:10:55)
Sort by class</t>
      </text>
    </comment>
    <comment authorId="0" ref="D55">
      <text>
        <t xml:space="preserve">======
ID#AAAAYJwpv5c
Tom Caffrey    (2022-04-21 14:10:55)
Approaches when a response is required for reinforcement</t>
      </text>
    </comment>
    <comment authorId="0" ref="AT39">
      <text>
        <t xml:space="preserve">======
ID#AAAAYJwpv5M
Tom Caffrey    (2022-04-21 14:10:55)
Name people previously observed</t>
      </text>
    </comment>
    <comment authorId="0" ref="P41">
      <text>
        <t xml:space="preserve">======
ID#AAAAYJwpv5I
Tom Caffrey    (2022-04-21 14:10:55)
Fluent receptive discriminations</t>
      </text>
    </comment>
    <comment authorId="0" ref="AN165">
      <text>
        <t xml:space="preserve">======
ID#AAAAYJwpv5U
Tom Caffrey    (2022-04-21 14:10:55)
Ride a tricycle</t>
      </text>
    </comment>
    <comment authorId="0" ref="AN108">
      <text>
        <t xml:space="preserve">======
ID#AAAAYJwpv5Q
Tom Caffrey    (2022-04-21 14:10:55)
Read small groups of words from left to right</t>
      </text>
    </comment>
    <comment authorId="0" ref="AT177">
      <text>
        <t xml:space="preserve">======
ID#AAAAYJwpv48
Tom Caffrey    (2022-04-21 14:10:55)
Multiple puzzle pieces into a frame</t>
      </text>
    </comment>
    <comment authorId="0" ref="AN119">
      <text>
        <t xml:space="preserve">======
ID#AAAAYJwpv5E
Tom Caffrey    (2022-04-21 14:10:55)
Receptive letters</t>
      </text>
    </comment>
    <comment authorId="0" ref="V59">
      <text>
        <t xml:space="preserve">======
ID#AAAAYJwpv5A
Tom Caffrey    (2022-04-21 14:10:55)
Motor imitation using objects</t>
      </text>
    </comment>
    <comment authorId="0" ref="AN160">
      <text>
        <t xml:space="preserve">======
ID#AAAAYJwpv44
Tom Caffrey    (2022-04-21 14:10:55)
Hang from bar</t>
      </text>
    </comment>
    <comment authorId="0" ref="AT27">
      <text>
        <t xml:space="preserve">======
ID#AAAAYJwpv40
Tom Caffrey    (2022-04-21 14:10:55)
Answers "why" questions</t>
      </text>
    </comment>
    <comment authorId="0" ref="AT53">
      <text>
        <t xml:space="preserve">======
ID#AAAAYJwpv4w
Tom Caffrey    (2022-04-21 14:10:55)
Intraverbal associations</t>
      </text>
    </comment>
    <comment authorId="0" ref="AN114">
      <text>
        <t xml:space="preserve">======
ID#AAAAYJwpv4g
Tom Caffrey    (2022-04-21 14:10:55)
Match words to words</t>
      </text>
    </comment>
    <comment authorId="0" ref="AN175">
      <text>
        <t xml:space="preserve">======
ID#AAAAYJwpv4o
Tom Caffrey    (2022-04-21 14:10:55)
Jump down</t>
      </text>
    </comment>
    <comment authorId="0" ref="P168">
      <text>
        <t xml:space="preserve">======
ID#AAAAYJwpv4k
Tom Caffrey    (2022-04-21 14:10:55)
Use buckles</t>
      </text>
    </comment>
    <comment authorId="0" ref="AT172">
      <text>
        <t xml:space="preserve">======
ID#AAAAYJwpv4s
Tom Caffrey    (2022-04-21 14:10:55)
Clothespins on a line</t>
      </text>
    </comment>
    <comment authorId="0" ref="D172">
      <text>
        <t xml:space="preserve">======
ID#AAAAYJwpv4Y
Tom Caffrey    (2022-04-21 14:10:55)
Print letters</t>
      </text>
    </comment>
    <comment authorId="0" ref="AT105">
      <text>
        <t xml:space="preserve">======
ID#AAAAYJwpv4c
Tom Caffrey    (2022-04-21 14:10:55)
"same"</t>
      </text>
    </comment>
    <comment authorId="0" ref="AN32">
      <text>
        <t xml:space="preserve">======
ID#AAAAYJwpv4U
Tom Caffrey    (2022-04-21 14:10:55)
Labels features of items which are missing or incorrect</t>
      </text>
    </comment>
    <comment authorId="0" ref="AT179">
      <text>
        <t xml:space="preserve">======
ID#AAAAYJwpv4M
Tom Caffrey    (2022-04-21 14:10:55)
Places objects 
in a form box</t>
      </text>
    </comment>
    <comment authorId="0" ref="J115">
      <text>
        <t xml:space="preserve">======
ID#AAAAYJwpv4Q
Tom Caffrey    (2022-04-21 14:10:55)
Plays with toys/ manipulates toys as designed</t>
      </text>
    </comment>
    <comment authorId="0" ref="J107">
      <text>
        <t xml:space="preserve">======
ID#AAAAYJwpv4E
Barbara C. Hughes    (2022-04-21 14:10:55)
Coordinated play with peers</t>
      </text>
    </comment>
    <comment authorId="0" ref="P58">
      <text>
        <t xml:space="preserve">======
ID#AAAAYJwpv4A
Tom Caffrey    (2022-04-21 14:10:55)
Follow instructions to do an enjoyable action in context</t>
      </text>
    </comment>
    <comment authorId="0" ref="P8">
      <text>
        <t xml:space="preserve">======
ID#AAAAYJwpv4I
Tom Caffrey    (2022-04-21 14:10:55)
Receptive pronouns</t>
      </text>
    </comment>
    <comment authorId="0" ref="V36">
      <text>
        <t xml:space="preserve">======
ID#AAAAYJwpv38
Barbara C. Hughes    (2022-04-21 14:10:55)
Motor imitation sequence using multiple objects</t>
      </text>
    </comment>
    <comment authorId="0" ref="AN107">
      <text>
        <t xml:space="preserve">======
ID#AAAAYJwpv34
Tom Caffrey    (2022-04-21 14:10:55)
Read simple sentences (3-6 words)</t>
      </text>
    </comment>
    <comment authorId="0" ref="P101">
      <text>
        <t xml:space="preserve">======
ID#AAAAYJwpv3w
Tom Caffrey    (2022-04-21 14:10:55)
Sharing-asks for items to be shared</t>
      </text>
    </comment>
    <comment authorId="0" ref="P56">
      <text>
        <t xml:space="preserve">======
ID#AAAAYJwpv30
Tom Caffrey    (2022-04-21 14:10:55)
Follow instructions to touch a reinforcing item in various positions</t>
      </text>
    </comment>
    <comment authorId="0" ref="AH34">
      <text>
        <t xml:space="preserve">======
ID#AAAAYJwpv3k
Tom Caffrey    (2022-04-21 14:10:55)
Requests information using "how"</t>
      </text>
    </comment>
    <comment authorId="0" ref="J56">
      <text>
        <t xml:space="preserve">======
ID#AAAAYJwpv3s
Tom Caffrey    (2022-04-21 14:10:55)
Match objects to pictures</t>
      </text>
    </comment>
    <comment authorId="0" ref="P19">
      <text>
        <t xml:space="preserve">======
ID#AAAAYJwpv3o
Tom Caffrey    (2022-04-21 14:10:55)
Select two items in a sequence from a larger set</t>
      </text>
    </comment>
    <comment authorId="0" ref="AT100">
      <text>
        <t xml:space="preserve">======
ID#AAAAYJwpv3c
Tom Caffrey    (2022-04-21 14:10:55)
Add numbers</t>
      </text>
    </comment>
    <comment authorId="0" ref="AT23">
      <text>
        <t xml:space="preserve">======
ID#AAAAYJwpv3g
Tom Caffrey    (2022-04-21 14:10:55)
Intraverbal yes/no with "can," "do," "does," or "will"questions</t>
      </text>
    </comment>
    <comment authorId="0" ref="D110">
      <text>
        <t xml:space="preserve">======
ID#AAAAYJwpv3Y
Tom Caffrey    (2022-04-21 14:10:55)
Possessive “S”</t>
      </text>
    </comment>
    <comment authorId="0" ref="J108">
      <text>
        <t xml:space="preserve">======
ID#AAAAYJwpv3U
Barbara C. Hughes    (2022-04-21 14:10:55)
Plays simple ball games</t>
      </text>
    </comment>
    <comment authorId="0" ref="P35">
      <text>
        <t xml:space="preserve">======
ID#AAAAYJwpv3Q
Tom Caffrey    (2022-04-21 14:10:55)
Selects items by following anothers gaze</t>
      </text>
    </comment>
    <comment authorId="0" ref="P108">
      <text>
        <t xml:space="preserve">======
ID#AAAAYJwpv3M
Tom Caffrey    (2022-04-21 14:10:55)
Responds to approaches &amp; attempts to interact from peers</t>
      </text>
    </comment>
    <comment authorId="0" ref="AN31">
      <text>
        <t xml:space="preserve">======
ID#AAAAYJwpv3I
Tom Caffrey    (2022-04-21 14:10:55)
Labels exclusion from a category</t>
      </text>
    </comment>
    <comment authorId="0" ref="AT94">
      <text>
        <t xml:space="preserve">======
ID#AAAAYJwpv3E
Tom Caffrey    (2022-04-21 14:10:55)
"unequal"</t>
      </text>
    </comment>
    <comment authorId="0" ref="J106">
      <text>
        <t xml:space="preserve">======
ID#AAAAYJwpv28
Barbara C. Hughes    (2022-04-21 14:10:55)
Interactive motor games</t>
      </text>
    </comment>
    <comment authorId="0" ref="P42">
      <text>
        <t xml:space="preserve">======
ID#AAAAYJwpv24
Tom Caffrey    (2022-04-21 14:10:55)
Acquires new selection skills without intensive training</t>
      </text>
    </comment>
    <comment authorId="0" ref="J57">
      <text>
        <t xml:space="preserve">======
ID#AAAAYJwpv3A
Tom Caffrey    (2022-04-21 14:10:55)
Match identical objects to sample</t>
      </text>
    </comment>
    <comment authorId="0" ref="AN113">
      <text>
        <t xml:space="preserve">======
ID#AAAAYJwpv2w
Tom Caffrey    (2022-04-21 14:10:55)
Names letters in words reading left to right</t>
      </text>
    </comment>
    <comment authorId="0" ref="AH39">
      <text>
        <t xml:space="preserve">======
ID#AAAAYJwpv20
Tom Caffrey    (2022-04-21 14:10:55)
Requests information using "who/whose"</t>
      </text>
    </comment>
    <comment authorId="0" ref="P49">
      <text>
        <t xml:space="preserve">======
ID#AAAAYJwpv2s
Tom Caffrey    (2022-04-21 14:10:55)
Follow instructions to select one reinforcing item from an array of two objects</t>
      </text>
    </comment>
    <comment authorId="0" ref="P103">
      <text>
        <t xml:space="preserve">======
ID#AAAAYJwpv2o
Tom Caffrey    (2022-04-21 14:10:55)
Eye contact</t>
      </text>
    </comment>
    <comment authorId="0" ref="J33">
      <text>
        <t xml:space="preserve">======
ID#AAAAYJwpv2k
Barbara C. Hughes    (2022-04-21 14:10:55)
Mazes</t>
      </text>
    </comment>
    <comment authorId="0" ref="J180">
      <text>
        <t xml:space="preserve">======
ID#AAAAYJwpv2g
Tom Caffrey    (2022-04-21 14:10:55)
Match individual letters to letters on word card</t>
      </text>
    </comment>
    <comment authorId="0" ref="AT15">
      <text>
        <t xml:space="preserve">======
ID#AAAAYJwpv2c
Barbara C. Hughes    (2022-04-21 14:10:55)
Answers questions relevant to current events</t>
      </text>
    </comment>
    <comment authorId="0" ref="AT44">
      <text>
        <t xml:space="preserve">======
ID#AAAAYJwpv2Y
Tom Caffrey    (2022-04-21 14:10:55)
Fill in features given the item</t>
      </text>
    </comment>
    <comment authorId="0" ref="AH174">
      <text>
        <t xml:space="preserve">======
ID#AAAAYJwpv2U
Tom Caffrey    (2022-04-21 14:10:55)
Remain clean (bowel movement) on a toileting schedule</t>
      </text>
    </comment>
    <comment authorId="0" ref="AB116">
      <text>
        <t xml:space="preserve">======
ID#AAAAYJwpv2M
Tom Caffrey    (2022-04-21 14:10:55)
Physically transitions to next area or activity</t>
      </text>
    </comment>
    <comment authorId="0" ref="AN152">
      <text>
        <t xml:space="preserve">======
ID#AAAAYJwpv2Q
oldsjm    (2022-04-21 14:10:55)
Jumping jacks</t>
      </text>
    </comment>
    <comment authorId="0" ref="P55">
      <text>
        <t xml:space="preserve">======
ID#AAAAYJwpv2E
Tom Caffrey    (2022-04-21 14:10:55)
Follow instructions to touch a common item in various positions</t>
      </text>
    </comment>
    <comment authorId="0" ref="J114">
      <text>
        <t xml:space="preserve">======
ID#AAAAYJwpv2A
Tom Caffrey    (2022-04-21 14:10:55)
Independently plays with toys and engages in verbal behavior</t>
      </text>
    </comment>
    <comment authorId="0" ref="AB115">
      <text>
        <t xml:space="preserve">======
ID#AAAAYJwpv2I
Tom Caffrey    (2022-04-21 14:10:55)
Waits turn to do activities (wash hands etc.)</t>
      </text>
    </comment>
    <comment authorId="0" ref="V109">
      <text>
        <t xml:space="preserve">======
ID#AAAAYJwpv18
Tom Caffrey    (2022-04-21 14:10:55)
Takes turns during instruction</t>
      </text>
    </comment>
    <comment authorId="0" ref="AT119">
      <text>
        <t xml:space="preserve">======
ID#AAAAYJwpv14
Tom Caffrey    (2022-04-21 14:10:55)
Rote counts with prompts</t>
      </text>
    </comment>
    <comment authorId="0" ref="AT154">
      <text>
        <t xml:space="preserve">======
ID#AAAAYJwpv1w
Tom Caffrey    (2022-04-21 14:10:55)
Cuts out shapes</t>
      </text>
    </comment>
    <comment authorId="0" ref="P53">
      <text>
        <t xml:space="preserve">======
ID#AAAAYJwpv1s
Tom Caffrey    (2022-04-21 14:10:55)
Follow instructions in routine situations</t>
      </text>
    </comment>
    <comment authorId="0" ref="AH118">
      <text>
        <t xml:space="preserve">======
ID#AAAAYJwpv10
Tom Caffrey    (2022-04-21 14:10:55)
Generalizes across instructors</t>
      </text>
    </comment>
    <comment authorId="0" ref="AN20">
      <text>
        <t xml:space="preserve">======
ID#AAAAYJwpv1k
Tom Caffrey    (2022-04-21 14:10:55)
Naming specified parts of scenes</t>
      </text>
    </comment>
    <comment authorId="0" ref="AT30">
      <text>
        <t xml:space="preserve">======
ID#AAAAYJwpv1o
Tom Caffrey    (2022-04-21 14:10:55)
Discrimination of questions asked about items and activities</t>
      </text>
    </comment>
    <comment authorId="0" ref="V46">
      <text>
        <t xml:space="preserve">======
ID#AAAAYJwpv1Y
Barbara C. Hughes    (2022-04-21 14:10:55)
Imitation of blowing</t>
      </text>
    </comment>
    <comment authorId="0" ref="AT96">
      <text>
        <t xml:space="preserve">======
ID#AAAAYJwpv1c
Tom Caffrey    (2022-04-21 14:10:55)
Interchange coins to arrive at equal values</t>
      </text>
    </comment>
    <comment authorId="0" ref="AN169">
      <text>
        <t xml:space="preserve">======
ID#AAAAYJwpv1g
Tom Caffrey    (2022-04-21 14:10:55)
Creep on stomach</t>
      </text>
    </comment>
    <comment authorId="0" ref="AT106">
      <text>
        <t xml:space="preserve">======
ID#AAAAYJwpv1U
Tom Caffrey    (2022-04-21 14:10:55)
Add items to specified quantity</t>
      </text>
    </comment>
    <comment authorId="0" ref="AB57">
      <text>
        <t xml:space="preserve">======
ID#AAAAYJwpv1Q
Tom Caffrey    (2022-04-21 14:10:55)
Imitates initial sounds of words</t>
      </text>
    </comment>
    <comment authorId="0" ref="AN50">
      <text>
        <t xml:space="preserve">======
ID#AAAAYJwpv1I
Tom Caffrey    (2022-04-21 14:10:55)
Acquires novel labels without intensive training</t>
      </text>
    </comment>
    <comment authorId="0" ref="AN110">
      <text>
        <t xml:space="preserve">======
ID#AAAAYJwpv1E
Tom Caffrey    (2022-04-21 14:10:55)
Read simple words</t>
      </text>
    </comment>
    <comment authorId="0" ref="AT158">
      <text>
        <t xml:space="preserve">======
ID#AAAAYJwpv1M
Tom Caffrey    (2022-04-21 14:10:55)
Objects (rings) 
on pegs</t>
      </text>
    </comment>
    <comment authorId="0" ref="V114">
      <text>
        <t xml:space="preserve">======
ID#AAAAYJwpv08
Tom Caffrey    (2022-04-21 14:10:55)
Follows group instructions with a discrimination</t>
      </text>
    </comment>
    <comment authorId="0" ref="AT28">
      <text>
        <t xml:space="preserve">======
ID#AAAAYJwpv1A
Tom Caffrey    (2022-04-21 14:10:55)
Answers "how" questions</t>
      </text>
    </comment>
    <comment authorId="0" ref="AH119">
      <text>
        <t xml:space="preserve">======
ID#AAAAYJwpv0w
Tom Caffrey    (2022-04-21 14:10:55)
Generalizes across stimuli</t>
      </text>
    </comment>
    <comment authorId="0" ref="AN118">
      <text>
        <t xml:space="preserve">======
ID#AAAAYJwpv04
Tom Caffrey    (2022-04-21 14:10:55)
Labels letters</t>
      </text>
    </comment>
    <comment authorId="0" ref="AT107">
      <text>
        <t xml:space="preserve">======
ID#AAAAYJwpv00
Tom Caffrey    (2022-04-21 14:10:55)
"zero/none"</t>
      </text>
    </comment>
    <comment authorId="0" ref="AN21">
      <text>
        <t xml:space="preserve">======
ID#AAAAYJwpv0s
Tom Caffrey    (2022-04-21 14:10:55)
Labels and describes events or items presented in a scene</t>
      </text>
    </comment>
    <comment authorId="0" ref="AT58">
      <text>
        <t xml:space="preserve">======
ID#AAAAYJwpv0o
Tom Caffrey    (2022-04-21 14:10:55)
Fill in blanks regarding fun items and activities</t>
      </text>
    </comment>
    <comment authorId="0" ref="J34">
      <text>
        <t xml:space="preserve">======
ID#AAAAYJwpv0k
Barbara C. Hughes    (2022-04-21 14:10:55)
Picture sequences</t>
      </text>
    </comment>
    <comment authorId="0" ref="D58">
      <text>
        <t xml:space="preserve">======
ID#AAAAYJwpv0g
Tom Caffrey    (2022-04-21 14:10:55)
Take a reinforcer from two choices of items</t>
      </text>
    </comment>
    <comment authorId="0" ref="AB51">
      <text>
        <t xml:space="preserve">======
ID#AAAAYJwpv0c
Tom Caffrey    (2022-04-21 14:10:55)
Consonant-vowel-consonant-vowel</t>
      </text>
    </comment>
    <comment authorId="0" ref="P9">
      <text>
        <t xml:space="preserve">======
ID#AAAAYJwpv0Y
Tom Caffrey    (2022-04-21 14:10:55)
Receptive Prepostions</t>
      </text>
    </comment>
    <comment authorId="0" ref="AT99">
      <text>
        <t xml:space="preserve">======
ID#AAAAYJwpv0U
Tom Caffrey    (2022-04-21 14:10:55)
Time telling</t>
      </text>
    </comment>
    <comment authorId="0" ref="D49">
      <text>
        <t xml:space="preserve">======
ID#AAAAYJwpv0Q
Tom Caffrey    (2022-04-21 14:10:55)
Responds quickly when given an instruction</t>
      </text>
    </comment>
    <comment authorId="0" ref="P5">
      <text>
        <t xml:space="preserve">======
ID#AAAAYJwpv0A
Barbara C. Hughes    (2022-04-21 14:10:55)
Selects "same" and "different"</t>
      </text>
    </comment>
    <comment authorId="0" ref="P110">
      <text>
        <t xml:space="preserve">======
ID#AAAAYJwpv0I
Tom Caffrey    (2022-04-21 14:10:55)
Returns greetings</t>
      </text>
    </comment>
    <comment authorId="0" ref="V47">
      <text>
        <t xml:space="preserve">======
ID#AAAAYJwpv0E
Tom Caffrey    (2022-04-21 14:10:55)
Imitation of touching objects in sequence</t>
      </text>
    </comment>
    <comment authorId="0" ref="AT118">
      <text>
        <t xml:space="preserve">======
ID#AAAAYJwpv0M
Tom Caffrey    (2022-04-21 14:10:55)
Rote counting</t>
      </text>
    </comment>
    <comment authorId="0" ref="P50">
      <text>
        <t xml:space="preserve">======
ID#AAAAYJwpvz8
Tom Caffrey    (2022-04-21 14:10:55)
Follow instructions to touch item vs. a distractor</t>
      </text>
    </comment>
    <comment authorId="0" ref="P92">
      <text>
        <t xml:space="preserve">======
ID#AAAAYJwpvz4
oldsjm    (2022-04-21 14:10:55)
Direct others attention to something of interest to them</t>
      </text>
    </comment>
    <comment authorId="0" ref="AN49">
      <text>
        <t xml:space="preserve">======
ID#AAAAYJwpvz0
Tom Caffrey    (2022-04-21 14:10:55)
Labels items using a carrier phrase</t>
      </text>
    </comment>
    <comment authorId="0" ref="AN57">
      <text>
        <t xml:space="preserve">======
ID#AAAAYJwpvzs
Tom Caffrey    (2022-04-21 14:10:55)
Labels common people (actual individuals, not professionals)</t>
      </text>
    </comment>
    <comment authorId="0" ref="V108">
      <text>
        <t xml:space="preserve">======
ID#AAAAYJwpvzo
Tom Caffrey    (2022-04-21 14:10:55)
Learns new skills in group teaching format</t>
      </text>
    </comment>
    <comment authorId="0" ref="AB176">
      <text>
        <t xml:space="preserve">======
ID#AAAAYJwpvzw
Tom Caffrey    (2022-04-21 14:10:55)
Comb or brush hair</t>
      </text>
    </comment>
    <comment authorId="0" ref="AT103">
      <text>
        <t xml:space="preserve">======
ID#AAAAYJwpvzk
Tom Caffrey    (2022-04-21 14:10:55)
"greater"</t>
      </text>
    </comment>
    <comment authorId="0" ref="D42">
      <text>
        <t xml:space="preserve">======
ID#AAAAYJwpvzg
Barbara C. Hughes    (2022-04-21 14:10:55)
Seeks approval for task completion</t>
      </text>
    </comment>
    <comment authorId="0" ref="AZ57">
      <text>
        <t xml:space="preserve">======
ID#AAAAYJwpvzc
Tom Caffrey    (2022-04-21 14:10:55)
Spontaneously says phrases</t>
      </text>
    </comment>
    <comment authorId="0" ref="P180">
      <text>
        <t xml:space="preserve">======
ID#AAAAYJwpvzY
Tom Caffrey    (2022-04-21 14:10:55)
Pants up &amp; down</t>
      </text>
    </comment>
    <comment authorId="0" ref="V116">
      <text>
        <t xml:space="preserve">======
ID#AAAAYJwpvzU
Tom Caffrey    (2022-04-21 14:10:55)
Attends to other students in group</t>
      </text>
    </comment>
    <comment authorId="0" ref="D43">
      <text>
        <t xml:space="preserve">======
ID#AAAAYJwpvzQ
Barbara C. Hughes    (2022-04-21 14:10:55)
Waits appropriatly if reinforcer delivery is delayed</t>
      </text>
    </comment>
    <comment authorId="0" ref="P17">
      <text>
        <t xml:space="preserve">======
ID#AAAAYJwpvzM
Tom Caffrey    (2022-04-21 14:10:55)
Locate objects in larger, complex picture</t>
      </text>
    </comment>
    <comment authorId="0" ref="AN178">
      <text>
        <t xml:space="preserve">======
ID#AAAAYJwpvzE
Tom Caffrey    (2022-04-21 14:10:55)
Run smoothly</t>
      </text>
    </comment>
    <comment authorId="0" ref="AT167">
      <text>
        <t xml:space="preserve">======
ID#AAAAYJwpvzA
Tom Caffrey    (2022-04-21 14:10:55)
Strings beads</t>
      </text>
    </comment>
    <comment authorId="0" ref="AT174">
      <text>
        <t xml:space="preserve">======
ID#AAAAYJwpvzI
Tom Caffrey    (2022-04-21 14:10:55)
Places pegs in a
 peg board</t>
      </text>
    </comment>
    <comment authorId="0" ref="AN53">
      <text>
        <t xml:space="preserve">======
ID#AAAAYJwpvy4
Tom Caffrey    (2022-04-21 14:10:55)
Labels common ongoing actions</t>
      </text>
    </comment>
    <comment authorId="0" ref="P115">
      <text>
        <t xml:space="preserve">======
ID#AAAAYJwpvy8
Tom Caffrey    (2022-04-21 14:10:55)
Looks at others to start a scoial intertaction</t>
      </text>
    </comment>
    <comment authorId="0" ref="V41">
      <text>
        <t xml:space="preserve">======
ID#AAAAYJwpvy0
Barbara C. Hughes    (2022-04-21 14:10:55)
Imitation of a sequence of actions switching with model</t>
      </text>
    </comment>
    <comment authorId="0" ref="D47">
      <text>
        <t xml:space="preserve">======
ID#AAAAYJwpvys
Barbara C. Hughes    (2022-04-21 14:10:55)
Internittent tangible reinforcement</t>
      </text>
    </comment>
    <comment authorId="0" ref="AH42">
      <text>
        <t xml:space="preserve">======
ID#AAAAYJwpvyw
Tom Caffrey    (2022-04-21 14:10:55)
Requests future items or events</t>
      </text>
    </comment>
    <comment authorId="0" ref="J37">
      <text>
        <t xml:space="preserve">======
ID#AAAAYJwpvyk
Barbara C. Hughes    (2022-04-21 14:10:55)
Replicate simple 3-demensional objects</t>
      </text>
    </comment>
    <comment authorId="0" ref="AT29">
      <text>
        <t xml:space="preserve">======
ID#AAAAYJwpvyo
Tom Caffrey    (2022-04-21 14:10:55)
Answers "which" qeustions</t>
      </text>
    </comment>
    <comment authorId="0" ref="AN105">
      <text>
        <t xml:space="preserve">======
ID#AAAAYJwpvyg
Tom Caffrey    (2022-04-21 14:10:55)
Reads &amp; folows simple 
instructions to do actions</t>
      </text>
    </comment>
    <comment authorId="0" ref="P91">
      <text>
        <t xml:space="preserve">======
ID#AAAAYJwpvyc
oldsjm    (2022-04-21 14:10:55)
Attends to the reactions of interest by others</t>
      </text>
    </comment>
    <comment authorId="0" ref="J112">
      <text>
        <t xml:space="preserve">======
ID#AAAAYJwpvyQ
Tom Caffrey    (2022-04-21 14:10:55)
Play interactively with other students</t>
      </text>
    </comment>
    <comment authorId="0" ref="AT156">
      <text>
        <t xml:space="preserve">======
ID#AAAAYJwpvyY
Tom Caffrey    (2022-04-21 14:10:55)
Uses pincer grip</t>
      </text>
    </comment>
    <comment authorId="0" ref="AN19">
      <text>
        <t xml:space="preserve">======
ID#AAAAYJwpvyU
Tom Caffrey    (2022-04-21 14:10:55)
Labels adverbs</t>
      </text>
    </comment>
    <comment authorId="0" ref="V42">
      <text>
        <t xml:space="preserve">======
ID#AAAAYJwpvyM
Barbara C. Hughes    (2022-04-21 14:10:55)
Imitation of touching objects in sequence following a model</t>
      </text>
    </comment>
    <comment authorId="0" ref="P94">
      <text>
        <t xml:space="preserve">======
ID#AAAAYJwpvyA
oldsjm    (2022-04-21 14:10:55)
Assist other to participate</t>
      </text>
    </comment>
    <comment authorId="0" ref="P175">
      <text>
        <t xml:space="preserve">======
ID#AAAAYJwpvyI
Tom Caffrey    (2022-04-21 14:10:55)
Socks on and off</t>
      </text>
    </comment>
    <comment authorId="0" ref="AB175">
      <text>
        <t xml:space="preserve">======
ID#AAAAYJwpvyE
Tom Caffrey    (2022-04-21 14:10:55)
Brush teeth</t>
      </text>
    </comment>
    <comment authorId="0" ref="P111">
      <text>
        <t xml:space="preserve">======
ID#AAAAYJwpvx8
Tom Caffrey    (2022-04-21 14:10:55)
Imitaties peers</t>
      </text>
    </comment>
    <comment authorId="0" ref="V35">
      <text>
        <t xml:space="preserve">======
ID#AAAAYJwpvx4
Barbara C. Hughes    (2022-04-21 14:10:55)
Imitates motor movement without a direct verbal prompt</t>
      </text>
    </comment>
    <comment authorId="0" ref="P40">
      <text>
        <t xml:space="preserve">======
ID#AAAAYJwpvxw
Tom Caffrey    (2022-04-21 14:10:55)
Varied instructions to select using any response</t>
      </text>
    </comment>
    <comment authorId="0" ref="D52">
      <text>
        <t xml:space="preserve">======
ID#AAAAYJwpvx0
Tom Caffrey    (2022-04-21 14:10:55)
Waits without touching stimuli</t>
      </text>
    </comment>
    <comment authorId="0" ref="AT16">
      <text>
        <t xml:space="preserve">======
ID#AAAAYJwpvxs
Barbara C. Hughes    (2022-04-21 14:10:55)
Answers novel questions</t>
      </text>
    </comment>
    <comment authorId="0" ref="AN35">
      <text>
        <t xml:space="preserve">======
ID#AAAAYJwpvxo
Tom Caffrey    (2022-04-21 14:10:55)
Labels class of an object</t>
      </text>
    </comment>
    <comment authorId="0" ref="AT19">
      <text>
        <t xml:space="preserve">======
ID#AAAAYJwpvxk
Tom Caffrey    (2022-04-21 14:10:55)
Describes steps before and after in sequecne of a daily activity</t>
      </text>
    </comment>
    <comment authorId="0" ref="V171">
      <text>
        <t xml:space="preserve">======
ID#AAAAYJwpvxc
oldsjm    (2022-04-21 14:10:55)
Keep eating area clean</t>
      </text>
    </comment>
    <comment authorId="0" ref="P106">
      <text>
        <t xml:space="preserve">======
ID#AAAAYJwpvxg
Tom Caffrey    (2022-04-21 14:10:55)
Searches for missing person</t>
      </text>
    </comment>
    <comment authorId="0" ref="P52">
      <text>
        <t xml:space="preserve">======
ID#AAAAYJwpvxY
Tom Caffrey    (2022-04-21 14:10:55)
Follow instructions to give a named, non-reinforcing object</t>
      </text>
    </comment>
    <comment authorId="0" ref="AN111">
      <text>
        <t xml:space="preserve">======
ID#AAAAYJwpvxI
Tom Caffrey    (2022-04-21 14:10:55)
Fill in missing letter of words</t>
      </text>
    </comment>
    <comment authorId="0" ref="P166">
      <text>
        <t xml:space="preserve">======
ID#AAAAYJwpvxQ
Tom Caffrey    (2022-04-21 14:10:55)
Tie shoes</t>
      </text>
    </comment>
    <comment authorId="0" ref="P57">
      <text>
        <t xml:space="preserve">======
ID#AAAAYJwpvxM
Tom Caffrey    (2022-04-21 14:10:55)
Follow instructions to look at a reinforcing item</t>
      </text>
    </comment>
    <comment authorId="0" ref="P37">
      <text>
        <t xml:space="preserve">======
ID#AAAAYJwpvxU
Tom Caffrey    (2022-04-21 14:10:55)
Touches parts of items</t>
      </text>
    </comment>
    <comment authorId="0" ref="P24">
      <text>
        <t xml:space="preserve">======
ID#AAAAYJwpvw8
Tom Caffrey    (2022-04-21 14:10:55)
Select associated pictures</t>
      </text>
    </comment>
    <comment authorId="0" ref="V57">
      <text>
        <t xml:space="preserve">======
ID#AAAAYJwpvxA
Tom Caffrey    (2022-04-21 14:10:55)
Motor imitation of gross motor movement with verbal prompts</t>
      </text>
    </comment>
    <comment authorId="0" ref="J178">
      <text>
        <t xml:space="preserve">======
ID#AAAAYJwpvxE
Tom Caffrey    (2022-04-21 14:10:55)
Copy words</t>
      </text>
    </comment>
    <comment authorId="0" ref="P43">
      <text>
        <t xml:space="preserve">======
ID#AAAAYJwpvw0
Tom Caffrey    (2022-04-21 14:10:55)
Select one of six or more objects on a table</t>
      </text>
    </comment>
    <comment authorId="0" ref="P31">
      <text>
        <t xml:space="preserve">======
ID#AAAAYJwpvw4
Tom Caffrey    (2022-04-21 14:10:55)
Follow an instruction to walk to someone and get a named item</t>
      </text>
    </comment>
    <comment authorId="0" ref="D118">
      <text>
        <t xml:space="preserve">======
ID#AAAAYJwpvww
Tom Caffrey    (2022-04-21 14:10:55)
Syntax (Word order)</t>
      </text>
    </comment>
    <comment authorId="0" ref="AH176">
      <text>
        <t xml:space="preserve">======
ID#AAAAYJwpvwo
Tom Caffrey    (2022-04-21 14:10:55)
Wipe self after urinating (Females)</t>
      </text>
    </comment>
    <comment authorId="0" ref="AB110">
      <text>
        <t xml:space="preserve">======
ID#AAAAYJwpvws
Tom Caffrey    (2022-04-21 14:10:55)
Stands &amp; waits appropriately during transitions</t>
      </text>
    </comment>
    <comment authorId="0" ref="AT26">
      <text>
        <t xml:space="preserve">======
ID#AAAAYJwpvwg
Tom Caffrey    (2022-04-21 14:10:55)
Describes steps in sequesnce of a daily acitvity</t>
      </text>
    </comment>
    <comment authorId="0" ref="V50">
      <text>
        <t xml:space="preserve">======
ID#AAAAYJwpvwc
Tom Caffrey    (2022-04-21 14:10:55)
Imitation of mouth and tongue movements</t>
      </text>
    </comment>
    <comment authorId="0" ref="D173">
      <text>
        <t xml:space="preserve">======
ID#AAAAYJwpvwk
Tom Caffrey    (2022-04-21 14:10:55)
Copy numbers (with sample)</t>
      </text>
    </comment>
    <comment authorId="0" ref="P20">
      <text>
        <t xml:space="preserve">======
ID#AAAAYJwpvwY
Tom Caffrey    (2022-04-21 14:10:55)
Select two items from a larger set</t>
      </text>
    </comment>
    <comment authorId="0" ref="V110">
      <text>
        <t xml:space="preserve">======
ID#AAAAYJwpvwU
Tom Caffrey    (2022-04-21 14:10:55)
Raises hand AND answers a question</t>
      </text>
    </comment>
    <comment authorId="0" ref="AN41">
      <text>
        <t xml:space="preserve">======
ID#AAAAYJwpvwQ
Tom Caffrey    (2022-04-21 14:10:55)
Two-component labels (nouns) with pictures</t>
      </text>
    </comment>
    <comment authorId="0" ref="AN172">
      <text>
        <t xml:space="preserve">======
ID#AAAAYJwpvwM
Tom Caffrey    (2022-04-21 14:10:55)
Throw ball from chest or overhand</t>
      </text>
    </comment>
    <comment authorId="0" ref="V45">
      <text>
        <t xml:space="preserve">======
ID#AAAAYJwpvwA
Barbara C. Hughes    (2022-04-21 14:10:55)
Imitate speed of an ongoing action with objects</t>
      </text>
    </comment>
    <comment authorId="0" ref="P34">
      <text>
        <t xml:space="preserve">======
ID#AAAAYJwpvwI
Tom Caffrey    (2022-04-21 14:10:55)
Follows hand signals</t>
      </text>
    </comment>
    <comment authorId="0" ref="AT97">
      <text>
        <t xml:space="preserve">======
ID#AAAAYJwpvwE
Tom Caffrey    (2022-04-21 14:10:55)
Identify all coins
 by value</t>
      </text>
    </comment>
    <comment authorId="0" ref="AB48">
      <text>
        <t xml:space="preserve">======
ID#AAAAYJwpvv8
Barbara C. Hughes    (2022-04-21 14:10:55)
Imitation of words on request</t>
      </text>
    </comment>
    <comment authorId="0" ref="P28">
      <text>
        <t xml:space="preserve">======
ID#AAAAYJwpvv4
Tom Caffrey    (2022-04-21 14:10:55)
Demonstrates a specified action with an object when given different objects</t>
      </text>
    </comment>
    <comment authorId="0" ref="AH46">
      <text>
        <t xml:space="preserve">======
ID#AAAAYJwpvv0
Tom Caffrey    (2022-04-21 14:10:55)
Requests attention</t>
      </text>
    </comment>
    <comment authorId="0" ref="P102">
      <text>
        <t xml:space="preserve">======
ID#AAAAYJwpvvw
Tom Caffrey    (2022-04-21 14:10:55)
Asks peers for (single) items</t>
      </text>
    </comment>
    <comment authorId="0" ref="D44">
      <text>
        <t xml:space="preserve">======
ID#AAAAYJwpvvs
Barbara C. Hughes    (2022-04-21 14:10:55)
Responds to social reinforcers</t>
      </text>
    </comment>
    <comment authorId="0" ref="AH58">
      <text>
        <t xml:space="preserve">======
ID#AAAAYJwpvvo
Tom Caffrey    (2022-04-21 14:10:55)
Multiply controlled requests</t>
      </text>
    </comment>
    <comment authorId="0" ref="AZ56">
      <text>
        <t xml:space="preserve">======
ID#AAAAYJwpvvk
Tom Caffrey    (2022-04-21 14:10:55)
Sings songs with models</t>
      </text>
    </comment>
    <comment authorId="0" ref="AH117">
      <text>
        <t xml:space="preserve">======
ID#AAAAYJwpvvg
Tom Caffrey    (2022-04-21 14:10:55)
Generalizes across environments</t>
      </text>
    </comment>
    <comment authorId="0" ref="P51">
      <text>
        <t xml:space="preserve">======
ID#AAAAYJwpvvc
Tom Caffrey    (2022-04-21 14:10:55)
Follow instructions to do a simple motor action</t>
      </text>
    </comment>
    <comment authorId="0" ref="D113">
      <text>
        <t xml:space="preserve">======
ID#AAAAYJwpvvY
Tom Caffrey    (2022-04-21 14:10:55)
Contractions</t>
      </text>
    </comment>
    <comment authorId="0" ref="AN28">
      <text>
        <t xml:space="preserve">======
ID#AAAAYJwpvvQ
Tom Caffrey    (2022-04-21 14:10:55)
Labels items at a distance when others point to it</t>
      </text>
    </comment>
    <comment authorId="0" ref="AT57">
      <text>
        <t xml:space="preserve">======
ID#AAAAYJwpvvU
Tom Caffrey    (2022-04-21 14:10:55)
Sign English words
(for students who use ASL)</t>
      </text>
    </comment>
    <comment authorId="0" ref="AN45">
      <text>
        <t xml:space="preserve">======
ID#AAAAYJwpvvI
Tom Caffrey    (2022-04-21 14:10:55)
Labels item when told its function</t>
      </text>
    </comment>
    <comment authorId="0" ref="AB112">
      <text>
        <t xml:space="preserve">======
ID#AAAAYJwpvvM
Tom Caffrey    (2022-04-21 14:10:55)
Gets &amp; returns own materials</t>
      </text>
    </comment>
    <comment authorId="0" ref="V112">
      <text>
        <t xml:space="preserve">======
ID#AAAAYJwpvvA
Tom Caffrey    (2022-04-21 14:10:55)
Raise hand to answer a question</t>
      </text>
    </comment>
    <comment authorId="0" ref="AN153">
      <text>
        <t xml:space="preserve">======
ID#AAAAYJwpvvE
Tom Caffrey    (2022-04-21 14:10:55)
Skip</t>
      </text>
    </comment>
    <comment authorId="0" ref="AN58">
      <text>
        <t xml:space="preserve">======
ID#AAAAYJwpvu8
Tom Caffrey    (2022-04-21 14:10:55)
Labels common objects</t>
      </text>
    </comment>
    <comment authorId="0" ref="V119">
      <text>
        <t xml:space="preserve">======
ID#AAAAYJwpvu4
Tom Caffrey    (2022-04-21 14:10:55)
Sits appropriately in small group</t>
      </text>
    </comment>
    <comment authorId="0" ref="AH177">
      <text>
        <t xml:space="preserve">======
ID#AAAAYJwpvuo
Tom Caffrey    (2022-04-21 14:10:55)
Requests to use toilet when needed</t>
      </text>
    </comment>
    <comment authorId="0" ref="AN46">
      <text>
        <t xml:space="preserve">======
ID#AAAAYJwpvuw
Tom Caffrey    (2022-04-21 14:10:55)
Labels associated pictures</t>
      </text>
    </comment>
    <comment authorId="0" ref="AN39">
      <text>
        <t xml:space="preserve">======
ID#AAAAYJwpvus
Tom Caffrey    (2022-04-21 14:10:55)
Two-component labels (noun verb)</t>
      </text>
    </comment>
    <comment authorId="0" ref="D117">
      <text>
        <t xml:space="preserve">======
ID#AAAAYJwpvu0
Tom Caffrey    (2022-04-21 14:10:55)
Articles</t>
      </text>
    </comment>
    <comment authorId="0" ref="AB53">
      <text>
        <t xml:space="preserve">======
ID#AAAAYJwpvug
Tom Caffrey    (2022-04-21 14:10:55)
Imitation of a held sound to a second sound</t>
      </text>
    </comment>
    <comment authorId="0" ref="AH57">
      <text>
        <t xml:space="preserve">======
ID#AAAAYJwpvuc
Tom Caffrey    (2022-04-21 14:10:55)
Requesting with the reinforcer present and when asked “What do you want”</t>
      </text>
    </comment>
    <comment authorId="0" ref="D179">
      <text>
        <t xml:space="preserve">======
ID#AAAAYJwpvuk
Tom Caffrey    (2022-04-21 14:10:55)
Color between lines</t>
      </text>
    </comment>
    <comment authorId="0" ref="J35">
      <text>
        <t xml:space="preserve">======
ID#AAAAYJwpvuY
Barbara C. Hughes    (2022-04-21 14:10:55)
Seriation</t>
      </text>
    </comment>
    <comment authorId="0" ref="AT157">
      <text>
        <t xml:space="preserve">======
ID#AAAAYJwpvuU
Tom Caffrey    (2022-04-21 14:10:55)
Replace lids of jars</t>
      </text>
    </comment>
    <comment authorId="0" ref="AN51">
      <text>
        <t xml:space="preserve">======
ID#AAAAYJwpvuM
Tom Caffrey    (2022-04-21 14:10:55)
Fluent labeling</t>
      </text>
    </comment>
    <comment authorId="0" ref="AB119">
      <text>
        <t xml:space="preserve">======
ID#AAAAYJwpvuI
Tom Caffrey    (2022-04-21 14:10:55)
Follows daily routines (backpack, etc.)</t>
      </text>
    </comment>
    <comment authorId="0" ref="D112">
      <text>
        <t xml:space="preserve">======
ID#AAAAYJwpvuQ
Tom Caffrey    (2022-04-21 14:10:55)
Is/am with “ing” verb</t>
      </text>
    </comment>
    <comment authorId="0" ref="AH175">
      <text>
        <t xml:space="preserve">======
ID#AAAAYJwpvt8
Tom Caffrey    (2022-04-21 14:10:55)
Defecate in toilet</t>
      </text>
    </comment>
    <comment authorId="0" ref="AT109">
      <text>
        <t xml:space="preserve">======
ID#AAAAYJwpvt4
Tom Caffrey    (2022-04-21 14:10:55)
"some"</t>
      </text>
    </comment>
    <comment authorId="0" ref="AH41">
      <text>
        <t xml:space="preserve">======
ID#AAAAYJwpvuE
Tom Caffrey    (2022-04-21 14:10:55)
Requests information using "what"</t>
      </text>
    </comment>
    <comment authorId="0" ref="P173">
      <text>
        <t xml:space="preserve">======
ID#AAAAYJwpvuA
Tom Caffrey    (2022-04-21 14:10:55)
Unzip zipper</t>
      </text>
    </comment>
    <comment authorId="0" ref="D178">
      <text>
        <t xml:space="preserve">======
ID#AAAAYJwpvtw
Tom Caffrey    (2022-04-21 14:10:55)
Trace lines and shapes</t>
      </text>
    </comment>
    <comment authorId="0" ref="AB114">
      <text>
        <t xml:space="preserve">======
ID#AAAAYJwpvts
Tom Caffrey    (2022-04-21 14:10:55)
Gets in line on request</t>
      </text>
    </comment>
    <comment authorId="0" ref="AN157">
      <text>
        <t xml:space="preserve">======
ID#AAAAYJwpvt0
Tom Caffrey    (2022-04-21 14:10:55)
Toss and catch a ball</t>
      </text>
    </comment>
    <comment authorId="0" ref="AT12">
      <text>
        <t xml:space="preserve">======
ID#AAAAYJwpvto
Barbara C. Hughes    (2022-04-21 14:10:55)
Tells about experiences/ Tells stories</t>
      </text>
    </comment>
    <comment authorId="0" ref="AN179">
      <text>
        <t xml:space="preserve">======
ID#AAAAYJwpvtk
Tom Caffrey    (2022-04-21 14:10:55)
Kneel</t>
      </text>
    </comment>
    <comment authorId="0" ref="AH37">
      <text>
        <t xml:space="preserve">======
ID#AAAAYJwpvtg
Tom Caffrey    (2022-04-21 14:10:55)
Requests using pronouns</t>
      </text>
    </comment>
    <comment authorId="0" ref="P167">
      <text>
        <t xml:space="preserve">======
ID#AAAAYJwpvtc
Tom Caffrey    (2022-04-21 14:10:55)
Adjust clothing when needed</t>
      </text>
    </comment>
    <comment authorId="0" ref="AT48">
      <text>
        <t xml:space="preserve">======
ID#AAAAYJwpvtY
Tom Caffrey    (2022-04-21 14:10:55)
Answers "where" questions regarding items found in home or classroom</t>
      </text>
    </comment>
    <comment authorId="0" ref="J59">
      <text>
        <t xml:space="preserve">======
ID#AAAAYJwpvtM
Tom Caffrey    (2022-04-21 14:10:55)
Puzzle with single-piece type of inset</t>
      </text>
    </comment>
    <comment authorId="0" ref="D177">
      <text>
        <t xml:space="preserve">======
ID#AAAAYJwpvtU
Tom Caffrey    (2022-04-21 14:10:55)
Trace letters and numbers</t>
      </text>
    </comment>
    <comment authorId="0" ref="V177">
      <text>
        <t xml:space="preserve">======
ID#AAAAYJwpvtQ
Tom Caffrey    (2022-04-21 14:10:55)
Feed self with a spoon or fork</t>
      </text>
    </comment>
    <comment authorId="0" ref="P11">
      <text>
        <t xml:space="preserve">======
ID#AAAAYJwpvtE
Tom Caffrey    (2022-04-21 14:10:55)
Select non- examples</t>
      </text>
    </comment>
    <comment authorId="0" ref="V54">
      <text>
        <t xml:space="preserve">======
ID#AAAAYJwpvtA
Tom Caffrey    (2022-04-21 14:10:55)
Imitation discriminating static or kinetic motor movements</t>
      </text>
    </comment>
    <comment authorId="0" ref="P109">
      <text>
        <t xml:space="preserve">======
ID#AAAAYJwpvtI
Tom Caffrey    (2022-04-21 14:10:55)
Physically prompts others to do activities</t>
      </text>
    </comment>
    <comment authorId="0" ref="P104">
      <text>
        <t xml:space="preserve">======
ID#AAAAYJwpvs8
Tom Caffrey    (2022-04-21 14:10:55)
Labels items for others</t>
      </text>
    </comment>
    <comment authorId="0" ref="AN44">
      <text>
        <t xml:space="preserve">======
ID#AAAAYJwpvs4
Tom Caffrey    (2022-04-21 14:10:55)
Labels item when told one of its features</t>
      </text>
    </comment>
    <comment authorId="0" ref="P96">
      <text>
        <t xml:space="preserve">======
ID#AAAAYJwpvsw
oldsjm    (2022-04-21 14:10:55)
Feedback from peers</t>
      </text>
    </comment>
    <comment authorId="0" ref="AH54">
      <text>
        <t xml:space="preserve">======
ID#AAAAYJwpvss
Tom Caffrey    (2022-04-21 14:10:55)
Spontaneous requests with items NOT present (No Prompts)</t>
      </text>
    </comment>
    <comment authorId="0" ref="P32">
      <text>
        <t xml:space="preserve">======
ID#AAAAYJwpvs0
Tom Caffrey    (2022-04-21 14:10:55)
Follow an instruction to give an item to a person or place item on an object</t>
      </text>
    </comment>
    <comment authorId="0" ref="AT101">
      <text>
        <t xml:space="preserve">======
ID#AAAAYJwpvsk
Tom Caffrey    (2022-04-21 14:10:55)
Walk &amp; get specified number of objects from a larger set</t>
      </text>
    </comment>
    <comment authorId="0" ref="AN159">
      <text>
        <t xml:space="preserve">======
ID#AAAAYJwpvso
Tom Caffrey    (2022-04-21 14:10:55)
Catch a ball in hands</t>
      </text>
    </comment>
    <comment authorId="0" ref="P97">
      <text>
        <t xml:space="preserve">======
ID#AAAAYJwpvsc
oldsjm    (2022-04-21 14:10:55)
Observation of peers' attention to activities</t>
      </text>
    </comment>
    <comment authorId="0" ref="AN14">
      <text>
        <t xml:space="preserve">======
ID#AAAAYJwpvsg
Barbara C. Hughes    (2022-04-21 14:10:55)
Labels social interaction behavior</t>
      </text>
    </comment>
    <comment authorId="0" ref="AT93">
      <text>
        <t xml:space="preserve">======
ID#AAAAYJwpvsY
Tom Caffrey    (2022-04-21 14:10:55)
“minus"</t>
      </text>
    </comment>
    <comment authorId="0" ref="AN40">
      <text>
        <t xml:space="preserve">======
ID#AAAAYJwpvsU
Tom Caffrey    (2022-04-21 14:10:55)
Labels two-component with carrier phrase</t>
      </text>
    </comment>
    <comment authorId="0" ref="AH172">
      <text>
        <t xml:space="preserve">======
ID#AAAAYJwpvsQ
Tom Caffrey    (2022-04-21 14:10:55)
Independently use familiar restroom for bowel movements</t>
      </text>
    </comment>
    <comment authorId="0" ref="P48">
      <text>
        <t xml:space="preserve">======
ID#AAAAYJwpvsM
Tom Caffrey    (2022-04-21 14:10:55)
Follow instructions to select one of two reinforcing items</t>
      </text>
    </comment>
    <comment authorId="0" ref="V174">
      <text>
        <t xml:space="preserve">======
ID#AAAAYJwpvsI
Tom Caffrey    (2022-04-21 14:10:55)
Cut food with a knife</t>
      </text>
    </comment>
    <comment authorId="0" ref="AB113">
      <text>
        <t xml:space="preserve">======
ID#AAAAYJwpvsE
Tom Caffrey    (2022-04-21 14:10:55)
Works independently on academic activities appropriately during transitions</t>
      </text>
    </comment>
    <comment authorId="0" ref="AN22">
      <text>
        <t xml:space="preserve">======
ID#AAAAYJwpvsA
Tom Caffrey    (2022-04-21 14:10:55)
Uses carrier phrases when using pronouns</t>
      </text>
    </comment>
    <comment authorId="0" ref="D45">
      <text>
        <t xml:space="preserve">======
ID#AAAAYJwpvr8
Barbara C. Hughes    (2022-04-21 14:10:55)
Looks for instructor's change in facial expression and voice</t>
      </text>
    </comment>
    <comment authorId="0" ref="D101">
      <text>
        <t xml:space="preserve">======
ID#AAAAYJwpvr4
Tom Caffrey    (2022-04-21 14:10:55)
Quantification of a verbal response</t>
      </text>
    </comment>
    <comment authorId="0" ref="AT171">
      <text>
        <t xml:space="preserve">======
ID#AAAAYJwpvrw
Tom Caffrey    (2022-04-21 14:10:55)
Color within boundaries</t>
      </text>
    </comment>
    <comment authorId="0" ref="AN54">
      <text>
        <t xml:space="preserve">======
ID#AAAAYJwpvrs
Tom Caffrey    (2022-04-21 14:10:55)
Labels pieces of clothing</t>
      </text>
    </comment>
    <comment authorId="0" ref="AH173">
      <text>
        <t xml:space="preserve">======
ID#AAAAYJwpvro
Tom Caffrey    (2022-04-21 14:10:55)
Wipes self after bowel movement</t>
      </text>
    </comment>
    <comment authorId="0" ref="AT95">
      <text>
        <t xml:space="preserve">======
ID#AAAAYJwpvr0
Tom Caffrey    (2022-04-21 14:10:55)
"equal"</t>
      </text>
    </comment>
    <comment authorId="0" ref="AN55">
      <text>
        <t xml:space="preserve">======
ID#AAAAYJwpvrk
Tom Caffrey    (2022-04-21 14:10:55)
Labels body parts</t>
      </text>
    </comment>
    <comment authorId="0" ref="P177">
      <text>
        <t xml:space="preserve">======
ID#AAAAYJwpvrg
Tom Caffrey    (2022-04-21 14:10:55)
Buttoning shirts on and off</t>
      </text>
    </comment>
    <comment authorId="0" ref="AH171">
      <text>
        <t xml:space="preserve">======
ID#AAAAYJwpvrc
Tom Caffrey    (2022-04-21 14:10:55)
Use restroom without assistance</t>
      </text>
    </comment>
    <comment authorId="0" ref="J50">
      <text>
        <t xml:space="preserve">======
ID#AAAAYJwpvrY
Tom Caffrey    (2022-04-21 14:10:55)
Puzzle with multiple connecting pieces</t>
      </text>
    </comment>
    <comment authorId="0" ref="AB43">
      <text>
        <t xml:space="preserve">======
ID#AAAAYJwpvrU
Barbara C. Hughes    (2022-04-21 14:10:55)
Imitation of low vs. high sounds and words</t>
      </text>
    </comment>
    <comment authorId="0" ref="AT175">
      <text>
        <t xml:space="preserve">======
ID#AAAAYJwpvrM
Tom Caffrey    (2022-04-21 14:10:55)
Transfer objects to the opposite hand</t>
      </text>
    </comment>
    <comment authorId="0" ref="AZ58">
      <text>
        <t xml:space="preserve">======
ID#AAAAYJwpvrI
Tom Caffrey    (2022-04-21 14:10:55)
Spontaneously says words/ approximations to words</t>
      </text>
    </comment>
    <comment authorId="0" ref="AN13">
      <text>
        <t xml:space="preserve">======
ID#AAAAYJwpvrQ
Barbara C. Hughes    (2022-04-21 14:10:55)
Spontaneous labeling</t>
      </text>
    </comment>
    <comment authorId="0" ref="AB54">
      <text>
        <t xml:space="preserve">======
ID#AAAAYJwpvrE
Tom Caffrey    (2022-04-21 14:10:55)
Imitation of the number of repetitions of a sound</t>
      </text>
    </comment>
    <comment authorId="0" ref="AN36">
      <text>
        <t xml:space="preserve">======
ID#AAAAYJwpvrA
Tom Caffrey    (2022-04-21 14:10:55)
Labels functions of an item</t>
      </text>
    </comment>
    <comment authorId="0" ref="V53">
      <text>
        <t xml:space="preserve">======
ID#AAAAYJwpvq8
Tom Caffrey    (2022-04-21 14:10:55)
Varied imitation instructions</t>
      </text>
    </comment>
    <comment authorId="0" ref="AB180">
      <text>
        <t xml:space="preserve">======
ID#AAAAYJwpvq4
Tom Caffrey    (2022-04-21 14:10:55)
Wash hands</t>
      </text>
    </comment>
    <comment authorId="0" ref="V43">
      <text>
        <t xml:space="preserve">======
ID#AAAAYJwpvq0
Barbara C. Hughes    (2022-04-21 14:10:55)
Imitate speed of an action</t>
      </text>
    </comment>
    <comment authorId="0" ref="P18">
      <text>
        <t xml:space="preserve">======
ID#AAAAYJwpvqw
Tom Caffrey    (2022-04-21 14:10:55)
Select community helpers</t>
      </text>
    </comment>
    <comment authorId="0" ref="P88">
      <text>
        <t xml:space="preserve">======
ID#AAAAYJwpvqs
oldsjm    (2022-04-21 14:10:55)
Converse with others</t>
      </text>
    </comment>
    <comment authorId="0" ref="AB118">
      <text>
        <t xml:space="preserve">======
ID#AAAAYJwpvqo
Tom Caffrey    (2022-04-21 14:10:55)
Works independently on non-academic activities</t>
      </text>
    </comment>
    <comment authorId="0" ref="P22">
      <text>
        <t xml:space="preserve">======
ID#AAAAYJwpvqc
Tom Caffrey    (2022-04-21 14:10:55)
Select by feature</t>
      </text>
    </comment>
    <comment authorId="0" ref="P95">
      <text>
        <t xml:space="preserve">======
ID#AAAAYJwpvqk
oldsjm    (2022-04-21 14:10:55)
Adjusts behavior based on changes in peers' actions</t>
      </text>
    </comment>
    <comment authorId="0" ref="P93">
      <text>
        <t xml:space="preserve">======
ID#AAAAYJwpvqg
oldsjm    (2022-04-21 14:10:55)
States what others like/dislike</t>
      </text>
    </comment>
    <comment authorId="0" ref="J49">
      <text>
        <t xml:space="preserve">======
ID#AAAAYJwpvqY
Tom Caffrey    (2022-04-21 14:10:55)
Puzzles with a square-edged border frame</t>
      </text>
    </comment>
    <comment authorId="0" ref="P6">
      <text>
        <t xml:space="preserve">======
ID#AAAAYJwpvqU
Barbara C. Hughes    (2022-04-21 14:10:55)
Selects pictures representing emotions</t>
      </text>
    </comment>
    <comment authorId="0" ref="AT180">
      <text>
        <t xml:space="preserve">======
ID#AAAAYJwpvqI
Tom Caffrey    (2022-04-21 14:10:55)
Marks on paper 
with a crayon</t>
      </text>
    </comment>
    <comment authorId="0" ref="D108">
      <text>
        <t xml:space="preserve">======
ID#AAAAYJwpvqQ
Tom Caffrey    (2022-04-21 14:10:55)
Locatives</t>
      </text>
    </comment>
    <comment authorId="0" ref="AB117">
      <text>
        <t xml:space="preserve">======
ID#AAAAYJwpvqM
Tom Caffrey    (2022-04-21 14:10:55)
Sits and waits appropriately during transitions</t>
      </text>
    </comment>
    <comment authorId="0" ref="P86">
      <text>
        <t xml:space="preserve">======
ID#AAAAYJwpvqE
oldsjm    (2022-04-21 14:10:55)
Obtains and maintains attention of others</t>
      </text>
    </comment>
    <comment authorId="0" ref="AH179">
      <text>
        <t xml:space="preserve">======
ID#AAAAYJwpvqA
Tom Caffrey    (2022-04-21 14:10:55)
Remain dry (urine) on a toileting schedule</t>
      </text>
    </comment>
  </commentList>
  <extLst>
    <ext uri="GoogleSheetsCustomDataVersion2">
      <go:sheetsCustomData xmlns:go="http://customooxmlschemas.google.com/" r:id="rId1" roundtripDataSignature="AMtx7mhLTKhz1ACPPYAqErkP/yFElFDirg=="/>
    </ext>
  </extLst>
</comments>
</file>

<file path=xl/sharedStrings.xml><?xml version="1.0" encoding="utf-8"?>
<sst xmlns="http://schemas.openxmlformats.org/spreadsheetml/2006/main" count="1604" uniqueCount="678">
  <si>
    <t>Assessment of Basic Language and Learning Skills</t>
  </si>
  <si>
    <t>Skills Tracking System</t>
  </si>
  <si>
    <t>C57</t>
  </si>
  <si>
    <t>Student name:</t>
  </si>
  <si>
    <t>C56</t>
  </si>
  <si>
    <t>C55</t>
  </si>
  <si>
    <t>% of individual criteria met within each specific category</t>
  </si>
  <si>
    <t>Section</t>
  </si>
  <si>
    <t>C54</t>
  </si>
  <si>
    <t>Code</t>
  </si>
  <si>
    <t>Date:</t>
  </si>
  <si>
    <t>Total Score</t>
  </si>
  <si>
    <t xml:space="preserve">% of all criteria met </t>
  </si>
  <si>
    <t>A</t>
  </si>
  <si>
    <t>B</t>
  </si>
  <si>
    <t>C</t>
  </si>
  <si>
    <t>D</t>
  </si>
  <si>
    <t>E</t>
  </si>
  <si>
    <t>F</t>
  </si>
  <si>
    <t>G</t>
  </si>
  <si>
    <t>H</t>
  </si>
  <si>
    <t>I</t>
  </si>
  <si>
    <t>J</t>
  </si>
  <si>
    <t>K</t>
  </si>
  <si>
    <t>L</t>
  </si>
  <si>
    <t>M</t>
  </si>
  <si>
    <t>N</t>
  </si>
  <si>
    <t>P</t>
  </si>
  <si>
    <t>Q</t>
  </si>
  <si>
    <t>R</t>
  </si>
  <si>
    <t>S</t>
  </si>
  <si>
    <t>T</t>
  </si>
  <si>
    <t>U</t>
  </si>
  <si>
    <t>V</t>
  </si>
  <si>
    <t>W</t>
  </si>
  <si>
    <t>X</t>
  </si>
  <si>
    <t>Y</t>
  </si>
  <si>
    <t>Z</t>
  </si>
  <si>
    <t>Assessor:</t>
  </si>
  <si>
    <t>Total</t>
  </si>
  <si>
    <t>C53</t>
  </si>
  <si>
    <t>%</t>
  </si>
  <si>
    <t>C52</t>
  </si>
  <si>
    <t>C51</t>
  </si>
  <si>
    <t>C50</t>
  </si>
  <si>
    <t>C49</t>
  </si>
  <si>
    <t>H49</t>
  </si>
  <si>
    <t>C48</t>
  </si>
  <si>
    <t>H48</t>
  </si>
  <si>
    <t>C47</t>
  </si>
  <si>
    <t>G47</t>
  </si>
  <si>
    <t>H47</t>
  </si>
  <si>
    <t>C46</t>
  </si>
  <si>
    <t>G46</t>
  </si>
  <si>
    <t>H46</t>
  </si>
  <si>
    <t>C45</t>
  </si>
  <si>
    <t>G45</t>
  </si>
  <si>
    <t>H45</t>
  </si>
  <si>
    <t>C44</t>
  </si>
  <si>
    <t>G44</t>
  </si>
  <si>
    <t>H44</t>
  </si>
  <si>
    <t>C43</t>
  </si>
  <si>
    <t>G43</t>
  </si>
  <si>
    <t>H43</t>
  </si>
  <si>
    <t>C42</t>
  </si>
  <si>
    <t>G42</t>
  </si>
  <si>
    <t>H42</t>
  </si>
  <si>
    <t>C41</t>
  </si>
  <si>
    <t>G41</t>
  </si>
  <si>
    <t>H41</t>
  </si>
  <si>
    <t>C40</t>
  </si>
  <si>
    <t>G40</t>
  </si>
  <si>
    <t>H40</t>
  </si>
  <si>
    <t>C39</t>
  </si>
  <si>
    <t>G39</t>
  </si>
  <si>
    <t>H39</t>
  </si>
  <si>
    <t>C38</t>
  </si>
  <si>
    <t>G38</t>
  </si>
  <si>
    <t>H38</t>
  </si>
  <si>
    <t>C37</t>
  </si>
  <si>
    <t>G37</t>
  </si>
  <si>
    <t>H37</t>
  </si>
  <si>
    <t>C36</t>
  </si>
  <si>
    <t>G36</t>
  </si>
  <si>
    <t>H36</t>
  </si>
  <si>
    <t>* Enter only the number in each cell. The color code</t>
  </si>
  <si>
    <t>C35</t>
  </si>
  <si>
    <t>G35</t>
  </si>
  <si>
    <t>H35</t>
  </si>
  <si>
    <t>will automatically generate. % at the top is the % of</t>
  </si>
  <si>
    <t>C34</t>
  </si>
  <si>
    <t>G34</t>
  </si>
  <si>
    <t>H34</t>
  </si>
  <si>
    <t>total criteria within the set being met.</t>
  </si>
  <si>
    <t>C33</t>
  </si>
  <si>
    <t>G33</t>
  </si>
  <si>
    <t>H33</t>
  </si>
  <si>
    <t>C32</t>
  </si>
  <si>
    <t>G32</t>
  </si>
  <si>
    <t>H32</t>
  </si>
  <si>
    <t>C31</t>
  </si>
  <si>
    <t>G31</t>
  </si>
  <si>
    <t>H31</t>
  </si>
  <si>
    <t>C30</t>
  </si>
  <si>
    <t>G30</t>
  </si>
  <si>
    <t>H30</t>
  </si>
  <si>
    <t>C29</t>
  </si>
  <si>
    <t>F29</t>
  </si>
  <si>
    <t>G29</t>
  </si>
  <si>
    <t>H29</t>
  </si>
  <si>
    <t>C28</t>
  </si>
  <si>
    <t>F28</t>
  </si>
  <si>
    <t>G28</t>
  </si>
  <si>
    <t>H28</t>
  </si>
  <si>
    <t>B27</t>
  </si>
  <si>
    <t>C27</t>
  </si>
  <si>
    <t>D27</t>
  </si>
  <si>
    <t>F27</t>
  </si>
  <si>
    <t>G27</t>
  </si>
  <si>
    <t>H27</t>
  </si>
  <si>
    <t>B26</t>
  </si>
  <si>
    <t>C26</t>
  </si>
  <si>
    <t>D26</t>
  </si>
  <si>
    <t>F26</t>
  </si>
  <si>
    <t>G26</t>
  </si>
  <si>
    <t>H26</t>
  </si>
  <si>
    <t>B25</t>
  </si>
  <si>
    <t>C25</t>
  </si>
  <si>
    <t>D25</t>
  </si>
  <si>
    <t>F25</t>
  </si>
  <si>
    <t>G25</t>
  </si>
  <si>
    <t>H25</t>
  </si>
  <si>
    <t>Basic Learner Skills Assessment</t>
  </si>
  <si>
    <t>Academic Skills Assessment</t>
  </si>
  <si>
    <t>Self Help Skills Assessment</t>
  </si>
  <si>
    <t>Motor Skills Assessment</t>
  </si>
  <si>
    <t>B24</t>
  </si>
  <si>
    <t>C24</t>
  </si>
  <si>
    <t>D24</t>
  </si>
  <si>
    <t>F24</t>
  </si>
  <si>
    <t>G24</t>
  </si>
  <si>
    <t>H24</t>
  </si>
  <si>
    <t>B23</t>
  </si>
  <si>
    <t>C23</t>
  </si>
  <si>
    <t>D23</t>
  </si>
  <si>
    <t>F23</t>
  </si>
  <si>
    <t>G23</t>
  </si>
  <si>
    <t>H23</t>
  </si>
  <si>
    <t>A-</t>
  </si>
  <si>
    <t>Cooperation &amp; Reinforcer Effectiveness</t>
  </si>
  <si>
    <t>Q-</t>
  </si>
  <si>
    <t>Reading</t>
  </si>
  <si>
    <t>U-</t>
  </si>
  <si>
    <t>Dressing</t>
  </si>
  <si>
    <t>Y-</t>
  </si>
  <si>
    <t>Gross Motor</t>
  </si>
  <si>
    <t>B22</t>
  </si>
  <si>
    <t>C22</t>
  </si>
  <si>
    <t>D22</t>
  </si>
  <si>
    <t>F22</t>
  </si>
  <si>
    <t>G22</t>
  </si>
  <si>
    <t>H22</t>
  </si>
  <si>
    <t>B-</t>
  </si>
  <si>
    <t>Visual Performance</t>
  </si>
  <si>
    <t>R-</t>
  </si>
  <si>
    <t>Math</t>
  </si>
  <si>
    <t>V-</t>
  </si>
  <si>
    <t>Eating</t>
  </si>
  <si>
    <t>Z-</t>
  </si>
  <si>
    <t>Fine Motor</t>
  </si>
  <si>
    <t>B21</t>
  </si>
  <si>
    <t>C21</t>
  </si>
  <si>
    <t>D21</t>
  </si>
  <si>
    <t>F21</t>
  </si>
  <si>
    <t>G21</t>
  </si>
  <si>
    <t>H21</t>
  </si>
  <si>
    <t>C-</t>
  </si>
  <si>
    <t>Receptive Language</t>
  </si>
  <si>
    <t>S-</t>
  </si>
  <si>
    <t xml:space="preserve">Writing </t>
  </si>
  <si>
    <t>W-</t>
  </si>
  <si>
    <t>Grooming</t>
  </si>
  <si>
    <t>B20</t>
  </si>
  <si>
    <t>C20</t>
  </si>
  <si>
    <t>D20</t>
  </si>
  <si>
    <t>E20</t>
  </si>
  <si>
    <t>F20</t>
  </si>
  <si>
    <t>G20</t>
  </si>
  <si>
    <t>H20</t>
  </si>
  <si>
    <t>D-</t>
  </si>
  <si>
    <t>Motor Imitation</t>
  </si>
  <si>
    <t>T-</t>
  </si>
  <si>
    <t>Spelling</t>
  </si>
  <si>
    <t>X-</t>
  </si>
  <si>
    <t>Toileting</t>
  </si>
  <si>
    <t>A19</t>
  </si>
  <si>
    <t>B19</t>
  </si>
  <si>
    <t>C19</t>
  </si>
  <si>
    <t>D19</t>
  </si>
  <si>
    <t>E19</t>
  </si>
  <si>
    <t>F19</t>
  </si>
  <si>
    <t>G19</t>
  </si>
  <si>
    <t>H19</t>
  </si>
  <si>
    <t>E-</t>
  </si>
  <si>
    <t>Vocal Imitation</t>
  </si>
  <si>
    <t>A18</t>
  </si>
  <si>
    <t>B18</t>
  </si>
  <si>
    <t>C18</t>
  </si>
  <si>
    <t>D18</t>
  </si>
  <si>
    <t>E18</t>
  </si>
  <si>
    <t>F18</t>
  </si>
  <si>
    <t>G18</t>
  </si>
  <si>
    <t>H18</t>
  </si>
  <si>
    <t>F-</t>
  </si>
  <si>
    <t>Requests</t>
  </si>
  <si>
    <t>A17</t>
  </si>
  <si>
    <t>B17</t>
  </si>
  <si>
    <t>C17</t>
  </si>
  <si>
    <t>D17</t>
  </si>
  <si>
    <t>E17</t>
  </si>
  <si>
    <t>F17</t>
  </si>
  <si>
    <t>G17</t>
  </si>
  <si>
    <t>H17</t>
  </si>
  <si>
    <t>G-</t>
  </si>
  <si>
    <t>Labeling</t>
  </si>
  <si>
    <t>A16</t>
  </si>
  <si>
    <t>B16</t>
  </si>
  <si>
    <t>C16</t>
  </si>
  <si>
    <t>D16</t>
  </si>
  <si>
    <t>E16</t>
  </si>
  <si>
    <t>F16</t>
  </si>
  <si>
    <t>G16</t>
  </si>
  <si>
    <t>H16</t>
  </si>
  <si>
    <t>H-</t>
  </si>
  <si>
    <t>Intraverbals</t>
  </si>
  <si>
    <t>A15</t>
  </si>
  <si>
    <t>B15</t>
  </si>
  <si>
    <t>C15</t>
  </si>
  <si>
    <t>D15</t>
  </si>
  <si>
    <t>E15</t>
  </si>
  <si>
    <t>F15</t>
  </si>
  <si>
    <t>G15</t>
  </si>
  <si>
    <t>H15</t>
  </si>
  <si>
    <t>I-</t>
  </si>
  <si>
    <t>Spontaneous Vocalizations</t>
  </si>
  <si>
    <t>A14</t>
  </si>
  <si>
    <t>B14</t>
  </si>
  <si>
    <t>C14</t>
  </si>
  <si>
    <t>D14</t>
  </si>
  <si>
    <t>E14</t>
  </si>
  <si>
    <t>F14</t>
  </si>
  <si>
    <t>G14</t>
  </si>
  <si>
    <t>H14</t>
  </si>
  <si>
    <t>J-</t>
  </si>
  <si>
    <t>Syntax &amp; Grammar</t>
  </si>
  <si>
    <t>A13</t>
  </si>
  <si>
    <t>B13</t>
  </si>
  <si>
    <t>C13</t>
  </si>
  <si>
    <t>D13</t>
  </si>
  <si>
    <t>E13</t>
  </si>
  <si>
    <t>F13</t>
  </si>
  <si>
    <t>G13</t>
  </si>
  <si>
    <t>H13</t>
  </si>
  <si>
    <t>Average %</t>
  </si>
  <si>
    <t>A12</t>
  </si>
  <si>
    <t>B12</t>
  </si>
  <si>
    <t>C12</t>
  </si>
  <si>
    <t>D12</t>
  </si>
  <si>
    <t>E12</t>
  </si>
  <si>
    <t>F12</t>
  </si>
  <si>
    <t>G12</t>
  </si>
  <si>
    <t>H12</t>
  </si>
  <si>
    <t>Basic Learner Social</t>
  </si>
  <si>
    <t>Basic Learner Skills</t>
  </si>
  <si>
    <t>A11</t>
  </si>
  <si>
    <t>B11</t>
  </si>
  <si>
    <t>C11</t>
  </si>
  <si>
    <t>D11</t>
  </si>
  <si>
    <t>E11</t>
  </si>
  <si>
    <t>F11</t>
  </si>
  <si>
    <t>G11</t>
  </si>
  <si>
    <t>H11</t>
  </si>
  <si>
    <t>K-</t>
  </si>
  <si>
    <t>Play &amp; Leisure</t>
  </si>
  <si>
    <t>A10</t>
  </si>
  <si>
    <t>B10</t>
  </si>
  <si>
    <t>C10</t>
  </si>
  <si>
    <t>D10</t>
  </si>
  <si>
    <t>E10</t>
  </si>
  <si>
    <t>F10</t>
  </si>
  <si>
    <t>G10</t>
  </si>
  <si>
    <t>H10</t>
  </si>
  <si>
    <t>L-</t>
  </si>
  <si>
    <t>Social Interaction</t>
  </si>
  <si>
    <t>Academic Skills</t>
  </si>
  <si>
    <t>A9</t>
  </si>
  <si>
    <t>B9</t>
  </si>
  <si>
    <t>C9</t>
  </si>
  <si>
    <t>D9</t>
  </si>
  <si>
    <t>E9</t>
  </si>
  <si>
    <t>F9</t>
  </si>
  <si>
    <t>G9</t>
  </si>
  <si>
    <t>H9</t>
  </si>
  <si>
    <t>I9</t>
  </si>
  <si>
    <t>M-</t>
  </si>
  <si>
    <t>Group Instruction</t>
  </si>
  <si>
    <t>Self Help Skills</t>
  </si>
  <si>
    <t>A8</t>
  </si>
  <si>
    <t>B8</t>
  </si>
  <si>
    <t>C8</t>
  </si>
  <si>
    <t>D8</t>
  </si>
  <si>
    <t>E8</t>
  </si>
  <si>
    <t>F8</t>
  </si>
  <si>
    <t>G8</t>
  </si>
  <si>
    <t>H8</t>
  </si>
  <si>
    <t>I8</t>
  </si>
  <si>
    <t>N-</t>
  </si>
  <si>
    <t>Classroom Routines</t>
  </si>
  <si>
    <t>Motor Skills</t>
  </si>
  <si>
    <t>A7</t>
  </si>
  <si>
    <t>B7</t>
  </si>
  <si>
    <t>C7</t>
  </si>
  <si>
    <t>D7</t>
  </si>
  <si>
    <t>E7</t>
  </si>
  <si>
    <t>F7</t>
  </si>
  <si>
    <t>G7</t>
  </si>
  <si>
    <t>H7</t>
  </si>
  <si>
    <t>I7</t>
  </si>
  <si>
    <t>P-</t>
  </si>
  <si>
    <t>Generalized Responding</t>
  </si>
  <si>
    <t>A6</t>
  </si>
  <si>
    <t>B6</t>
  </si>
  <si>
    <t>C6</t>
  </si>
  <si>
    <t>D6</t>
  </si>
  <si>
    <t>E6</t>
  </si>
  <si>
    <t>F6</t>
  </si>
  <si>
    <t>G6</t>
  </si>
  <si>
    <t>H6</t>
  </si>
  <si>
    <t>I6</t>
  </si>
  <si>
    <t>A5</t>
  </si>
  <si>
    <t>B5</t>
  </si>
  <si>
    <t>C5</t>
  </si>
  <si>
    <t>D5</t>
  </si>
  <si>
    <t>E5</t>
  </si>
  <si>
    <t>F5</t>
  </si>
  <si>
    <t>G5</t>
  </si>
  <si>
    <t>H5</t>
  </si>
  <si>
    <t>I5</t>
  </si>
  <si>
    <t>A4</t>
  </si>
  <si>
    <t>B4</t>
  </si>
  <si>
    <t>C4</t>
  </si>
  <si>
    <t>D4</t>
  </si>
  <si>
    <t>E4</t>
  </si>
  <si>
    <t>F4</t>
  </si>
  <si>
    <t>G4</t>
  </si>
  <si>
    <t>H4</t>
  </si>
  <si>
    <t>I4</t>
  </si>
  <si>
    <t>A3</t>
  </si>
  <si>
    <t>B3</t>
  </si>
  <si>
    <t>C3</t>
  </si>
  <si>
    <t>D3</t>
  </si>
  <si>
    <t>E3</t>
  </si>
  <si>
    <t>F3</t>
  </si>
  <si>
    <t>G3</t>
  </si>
  <si>
    <t>H3</t>
  </si>
  <si>
    <t>I3</t>
  </si>
  <si>
    <t>Days between assessments</t>
  </si>
  <si>
    <t>(days based on 12, 30 day months)</t>
  </si>
  <si>
    <t>A2</t>
  </si>
  <si>
    <t>B2</t>
  </si>
  <si>
    <t>C2</t>
  </si>
  <si>
    <t>D2</t>
  </si>
  <si>
    <t>E2</t>
  </si>
  <si>
    <t>F2</t>
  </si>
  <si>
    <t>G2</t>
  </si>
  <si>
    <t>H2</t>
  </si>
  <si>
    <t>I2</t>
  </si>
  <si>
    <t>1st to 2nd</t>
  </si>
  <si>
    <t>A1</t>
  </si>
  <si>
    <t>B1</t>
  </si>
  <si>
    <t>C1</t>
  </si>
  <si>
    <t>D1</t>
  </si>
  <si>
    <t>E1</t>
  </si>
  <si>
    <t>F1</t>
  </si>
  <si>
    <t>G1</t>
  </si>
  <si>
    <t>H1</t>
  </si>
  <si>
    <t>I1</t>
  </si>
  <si>
    <t>2nd to 3rd</t>
  </si>
  <si>
    <t>3rd to 4th</t>
  </si>
  <si>
    <t>Cooperation &amp;</t>
  </si>
  <si>
    <t>Visual</t>
  </si>
  <si>
    <t>Receptive</t>
  </si>
  <si>
    <t>Imitation</t>
  </si>
  <si>
    <t>Vocal</t>
  </si>
  <si>
    <t>Spontaneous</t>
  </si>
  <si>
    <t>4th to 5th</t>
  </si>
  <si>
    <t>Reinforcer</t>
  </si>
  <si>
    <t>Performance</t>
  </si>
  <si>
    <t>Language</t>
  </si>
  <si>
    <t>Vocalizations</t>
  </si>
  <si>
    <t>5th to 6th</t>
  </si>
  <si>
    <t>Effectiveness</t>
  </si>
  <si>
    <t>* optimal % for each section would be 20% (this means each of the 5 sections are addressed equally)</t>
  </si>
  <si>
    <t>L34</t>
  </si>
  <si>
    <t>L33</t>
  </si>
  <si>
    <t>L32</t>
  </si>
  <si>
    <t>L31</t>
  </si>
  <si>
    <t>L30</t>
  </si>
  <si>
    <t>L29</t>
  </si>
  <si>
    <t>R29</t>
  </si>
  <si>
    <t>L28</t>
  </si>
  <si>
    <t>R28</t>
  </si>
  <si>
    <t>L27</t>
  </si>
  <si>
    <t>R27</t>
  </si>
  <si>
    <t>L26</t>
  </si>
  <si>
    <t>R26</t>
  </si>
  <si>
    <t>L25</t>
  </si>
  <si>
    <t>R25</t>
  </si>
  <si>
    <t>L24</t>
  </si>
  <si>
    <t>R24</t>
  </si>
  <si>
    <t>L23</t>
  </si>
  <si>
    <t>R23</t>
  </si>
  <si>
    <t>L22</t>
  </si>
  <si>
    <t>R22</t>
  </si>
  <si>
    <t>L21</t>
  </si>
  <si>
    <t>R21</t>
  </si>
  <si>
    <t>J20</t>
  </si>
  <si>
    <t>L20</t>
  </si>
  <si>
    <t>R20</t>
  </si>
  <si>
    <t>J19</t>
  </si>
  <si>
    <t>L19</t>
  </si>
  <si>
    <t>R19</t>
  </si>
  <si>
    <t>J18</t>
  </si>
  <si>
    <t>L18</t>
  </si>
  <si>
    <t>R18</t>
  </si>
  <si>
    <t>J17</t>
  </si>
  <si>
    <t>L17</t>
  </si>
  <si>
    <t>Q17</t>
  </si>
  <si>
    <t>R17</t>
  </si>
  <si>
    <t>J16</t>
  </si>
  <si>
    <t>L16</t>
  </si>
  <si>
    <t>Q16</t>
  </si>
  <si>
    <t>R16</t>
  </si>
  <si>
    <t>J15</t>
  </si>
  <si>
    <t>K15</t>
  </si>
  <si>
    <t>L15</t>
  </si>
  <si>
    <t>Q15</t>
  </si>
  <si>
    <t>R15</t>
  </si>
  <si>
    <t>J14</t>
  </si>
  <si>
    <t>K14</t>
  </si>
  <si>
    <t>L14</t>
  </si>
  <si>
    <t>Q14</t>
  </si>
  <si>
    <t>R14</t>
  </si>
  <si>
    <t>J13</t>
  </si>
  <si>
    <t>K13</t>
  </si>
  <si>
    <t>L13</t>
  </si>
  <si>
    <t>Q13</t>
  </si>
  <si>
    <t>R13</t>
  </si>
  <si>
    <t>J12</t>
  </si>
  <si>
    <t>K12</t>
  </si>
  <si>
    <t>L12</t>
  </si>
  <si>
    <t>M12</t>
  </si>
  <si>
    <t>Q12</t>
  </si>
  <si>
    <t>R12</t>
  </si>
  <si>
    <t>J11</t>
  </si>
  <si>
    <t>K11</t>
  </si>
  <si>
    <t>L11</t>
  </si>
  <si>
    <t>M11</t>
  </si>
  <si>
    <t>Q11</t>
  </si>
  <si>
    <t>R11</t>
  </si>
  <si>
    <t>J10</t>
  </si>
  <si>
    <t>K10</t>
  </si>
  <si>
    <t>L10</t>
  </si>
  <si>
    <t>M10</t>
  </si>
  <si>
    <t>N10</t>
  </si>
  <si>
    <t>Q10</t>
  </si>
  <si>
    <t>R10</t>
  </si>
  <si>
    <t>J9</t>
  </si>
  <si>
    <t>K9</t>
  </si>
  <si>
    <t>L9</t>
  </si>
  <si>
    <t>M9</t>
  </si>
  <si>
    <t>N9</t>
  </si>
  <si>
    <t>Q9</t>
  </si>
  <si>
    <t>R9</t>
  </si>
  <si>
    <t>J8</t>
  </si>
  <si>
    <t>K8</t>
  </si>
  <si>
    <t>L8</t>
  </si>
  <si>
    <t>M8</t>
  </si>
  <si>
    <t>N8</t>
  </si>
  <si>
    <t>Q8</t>
  </si>
  <si>
    <t>R8</t>
  </si>
  <si>
    <t>J7</t>
  </si>
  <si>
    <t>K7</t>
  </si>
  <si>
    <t>L7</t>
  </si>
  <si>
    <t>M7</t>
  </si>
  <si>
    <t>N7</t>
  </si>
  <si>
    <t>Q7</t>
  </si>
  <si>
    <t>R7</t>
  </si>
  <si>
    <t>J6</t>
  </si>
  <si>
    <t>K6</t>
  </si>
  <si>
    <t>L6</t>
  </si>
  <si>
    <t>M6</t>
  </si>
  <si>
    <t>N6</t>
  </si>
  <si>
    <t>P6</t>
  </si>
  <si>
    <t>Q6</t>
  </si>
  <si>
    <t>R6</t>
  </si>
  <si>
    <t>J5</t>
  </si>
  <si>
    <t>K5</t>
  </si>
  <si>
    <t>L5</t>
  </si>
  <si>
    <t>M5</t>
  </si>
  <si>
    <t>N5</t>
  </si>
  <si>
    <t>P5</t>
  </si>
  <si>
    <t>Q5</t>
  </si>
  <si>
    <t>R5</t>
  </si>
  <si>
    <t>J4</t>
  </si>
  <si>
    <t>K4</t>
  </si>
  <si>
    <t>L4</t>
  </si>
  <si>
    <t>M4</t>
  </si>
  <si>
    <t>N4</t>
  </si>
  <si>
    <t>P4</t>
  </si>
  <si>
    <t>Q4</t>
  </si>
  <si>
    <t>R4</t>
  </si>
  <si>
    <t>J3</t>
  </si>
  <si>
    <t>K3</t>
  </si>
  <si>
    <t>L3</t>
  </si>
  <si>
    <t>M3</t>
  </si>
  <si>
    <t>N3</t>
  </si>
  <si>
    <t>P3</t>
  </si>
  <si>
    <t>Q3</t>
  </si>
  <si>
    <t>R3</t>
  </si>
  <si>
    <t>J2</t>
  </si>
  <si>
    <t>K2</t>
  </si>
  <si>
    <t>L2</t>
  </si>
  <si>
    <t>M2</t>
  </si>
  <si>
    <t>N2</t>
  </si>
  <si>
    <t>P2</t>
  </si>
  <si>
    <t>Q2</t>
  </si>
  <si>
    <t>R2</t>
  </si>
  <si>
    <t>J1</t>
  </si>
  <si>
    <t>K1</t>
  </si>
  <si>
    <t>L1</t>
  </si>
  <si>
    <t>M1</t>
  </si>
  <si>
    <t>N1</t>
  </si>
  <si>
    <t>P1</t>
  </si>
  <si>
    <t>Q1</t>
  </si>
  <si>
    <t>R1</t>
  </si>
  <si>
    <t>Syntax and</t>
  </si>
  <si>
    <t>Play and</t>
  </si>
  <si>
    <t>Social</t>
  </si>
  <si>
    <t>Group</t>
  </si>
  <si>
    <t>Classroom</t>
  </si>
  <si>
    <t>Generalized</t>
  </si>
  <si>
    <t>Grammer</t>
  </si>
  <si>
    <t>Leisure</t>
  </si>
  <si>
    <t>Interaction</t>
  </si>
  <si>
    <t>Instruction</t>
  </si>
  <si>
    <t>Routines</t>
  </si>
  <si>
    <t>Responding</t>
  </si>
  <si>
    <t>Y30</t>
  </si>
  <si>
    <t>Y29</t>
  </si>
  <si>
    <t>Y28</t>
  </si>
  <si>
    <t>Z28</t>
  </si>
  <si>
    <t>Y27</t>
  </si>
  <si>
    <t>Z27</t>
  </si>
  <si>
    <t>Y26</t>
  </si>
  <si>
    <t>Z26</t>
  </si>
  <si>
    <t>Y25</t>
  </si>
  <si>
    <t>Z25</t>
  </si>
  <si>
    <t>Y24</t>
  </si>
  <si>
    <t>Z24</t>
  </si>
  <si>
    <t>Y23</t>
  </si>
  <si>
    <t>Z23</t>
  </si>
  <si>
    <t>Y22</t>
  </si>
  <si>
    <t>Z22</t>
  </si>
  <si>
    <t>Y21</t>
  </si>
  <si>
    <t>Z21</t>
  </si>
  <si>
    <t>Y20</t>
  </si>
  <si>
    <t>Z20</t>
  </si>
  <si>
    <t>Y19</t>
  </si>
  <si>
    <t>Z19</t>
  </si>
  <si>
    <t>Y18</t>
  </si>
  <si>
    <t>Z18</t>
  </si>
  <si>
    <t>Y17</t>
  </si>
  <si>
    <t>Z17</t>
  </si>
  <si>
    <t>Y16</t>
  </si>
  <si>
    <t>Z16</t>
  </si>
  <si>
    <t>U15</t>
  </si>
  <si>
    <t>Y15</t>
  </si>
  <si>
    <t>Z15</t>
  </si>
  <si>
    <t>U14</t>
  </si>
  <si>
    <t>Y14</t>
  </si>
  <si>
    <t>Z14</t>
  </si>
  <si>
    <t>U13</t>
  </si>
  <si>
    <t>Y13</t>
  </si>
  <si>
    <t>Z13</t>
  </si>
  <si>
    <t>U12</t>
  </si>
  <si>
    <t>Y12</t>
  </si>
  <si>
    <t>Z12</t>
  </si>
  <si>
    <t>U11</t>
  </si>
  <si>
    <t>Y11</t>
  </si>
  <si>
    <t>Z11</t>
  </si>
  <si>
    <t>S10</t>
  </si>
  <si>
    <t>U10</t>
  </si>
  <si>
    <t>V10</t>
  </si>
  <si>
    <t>X10</t>
  </si>
  <si>
    <t>Y10</t>
  </si>
  <si>
    <t>Z10</t>
  </si>
  <si>
    <t>S9</t>
  </si>
  <si>
    <t>U9</t>
  </si>
  <si>
    <t>V9</t>
  </si>
  <si>
    <t>X9</t>
  </si>
  <si>
    <t>Y9</t>
  </si>
  <si>
    <t>Z9</t>
  </si>
  <si>
    <t>S8</t>
  </si>
  <si>
    <t>U8</t>
  </si>
  <si>
    <t>V8</t>
  </si>
  <si>
    <t>X8</t>
  </si>
  <si>
    <t>Y8</t>
  </si>
  <si>
    <t>Z8</t>
  </si>
  <si>
    <t>S7</t>
  </si>
  <si>
    <t>T7</t>
  </si>
  <si>
    <t>U7</t>
  </si>
  <si>
    <t>V7</t>
  </si>
  <si>
    <t>W7</t>
  </si>
  <si>
    <t>X7</t>
  </si>
  <si>
    <t>Y7</t>
  </si>
  <si>
    <t>Z7</t>
  </si>
  <si>
    <t>S6</t>
  </si>
  <si>
    <t>T6</t>
  </si>
  <si>
    <t>U6</t>
  </si>
  <si>
    <t>V6</t>
  </si>
  <si>
    <t>W6</t>
  </si>
  <si>
    <t>X6</t>
  </si>
  <si>
    <t>Y6</t>
  </si>
  <si>
    <t>Z6</t>
  </si>
  <si>
    <t>S5</t>
  </si>
  <si>
    <t>T5</t>
  </si>
  <si>
    <t>U5</t>
  </si>
  <si>
    <t>V5</t>
  </si>
  <si>
    <t>W5</t>
  </si>
  <si>
    <t>X5</t>
  </si>
  <si>
    <t>Y5</t>
  </si>
  <si>
    <t>Z5</t>
  </si>
  <si>
    <t>S4</t>
  </si>
  <si>
    <t>T4</t>
  </si>
  <si>
    <t>U4</t>
  </si>
  <si>
    <t>V4</t>
  </si>
  <si>
    <t>W4</t>
  </si>
  <si>
    <t>X4</t>
  </si>
  <si>
    <t>Y4</t>
  </si>
  <si>
    <t>Z4</t>
  </si>
  <si>
    <t>S3</t>
  </si>
  <si>
    <t>T3</t>
  </si>
  <si>
    <t>U3</t>
  </si>
  <si>
    <t>V3</t>
  </si>
  <si>
    <t>W3</t>
  </si>
  <si>
    <t>X3</t>
  </si>
  <si>
    <t>Y3</t>
  </si>
  <si>
    <t>Z3</t>
  </si>
  <si>
    <t>S2</t>
  </si>
  <si>
    <t>T2</t>
  </si>
  <si>
    <t>U2</t>
  </si>
  <si>
    <t>V2</t>
  </si>
  <si>
    <t>W2</t>
  </si>
  <si>
    <t>X2</t>
  </si>
  <si>
    <t>Y2</t>
  </si>
  <si>
    <t>Z2</t>
  </si>
  <si>
    <t>S1</t>
  </si>
  <si>
    <t>T1</t>
  </si>
  <si>
    <t>U1</t>
  </si>
  <si>
    <t>V1</t>
  </si>
  <si>
    <t>W1</t>
  </si>
  <si>
    <t>X1</t>
  </si>
  <si>
    <t>Y1</t>
  </si>
  <si>
    <t>Z1</t>
  </si>
  <si>
    <t>Writing</t>
  </si>
  <si>
    <t>Ezra Briones</t>
  </si>
  <si>
    <t>Taylor Gage BCBA, LBA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</si>
</sst>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1">
    <font>
      <sz val="10.0"/>
      <color rgb="FF000000"/>
      <name val="Arial"/>
      <scheme val="minor"/>
    </font>
    <font>
      <sz val="6.0"/>
      <color theme="1"/>
      <name val="Arial"/>
    </font>
    <font>
      <sz val="10.0"/>
      <color theme="1"/>
      <name val="Arial"/>
    </font>
    <font>
      <b/>
      <sz val="10.0"/>
      <color theme="1"/>
      <name val="Arial"/>
    </font>
    <font/>
    <font>
      <sz val="8.0"/>
      <color theme="1"/>
      <name val="Arial"/>
    </font>
    <font>
      <color theme="1"/>
      <name val="Arial"/>
    </font>
    <font>
      <b/>
      <sz val="8.0"/>
      <color theme="1"/>
      <name val="Arial"/>
    </font>
    <font>
      <sz val="9.0"/>
      <color rgb="FF1F1F1F"/>
      <name val="Arial"/>
    </font>
    <font>
      <sz val="8.0"/>
      <color rgb="FFFF0000"/>
      <name val="Arial"/>
    </font>
    <font>
      <sz val="7.0"/>
      <color theme="1"/>
      <name val="Arial"/>
    </font>
    <font>
      <sz val="9.0"/>
      <color theme="1"/>
      <name val="Arial"/>
    </font>
    <font>
      <i/>
      <sz val="6.0"/>
      <color rgb="FFFF0000"/>
      <name val="Arial"/>
    </font>
    <font>
      <sz val="6.0"/>
      <color theme="1"/>
      <name val="Calibri"/>
    </font>
    <font>
      <color theme="0"/>
      <name val="Arial"/>
    </font>
    <font>
      <sz val="10.0"/>
      <color theme="0"/>
      <name val="Arial"/>
    </font>
    <font>
      <sz val="6.0"/>
      <color theme="0"/>
      <name val="Arial"/>
    </font>
    <font>
      <i/>
      <sz val="8.0"/>
      <color rgb="FFFF0000"/>
      <name val="Arial"/>
    </font>
    <font>
      <sz val="7.0"/>
      <color rgb="FFFF0000"/>
      <name val="Arial"/>
    </font>
    <font>
      <sz val="6.0"/>
      <color rgb="FFFF0000"/>
      <name val="Arial"/>
    </font>
    <font>
      <sz val="9.0"/>
      <color rgb="FF000000"/>
      <name val="Arial"/>
    </font>
  </fonts>
  <fills count="1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8DB3E2"/>
        <bgColor rgb="FF8DB3E2"/>
      </patternFill>
    </fill>
    <fill>
      <patternFill patternType="solid">
        <fgColor rgb="FF92D050"/>
        <bgColor rgb="FF92D050"/>
      </patternFill>
    </fill>
    <fill>
      <patternFill patternType="solid">
        <fgColor rgb="FFFFC000"/>
        <bgColor rgb="FFFFC000"/>
      </patternFill>
    </fill>
    <fill>
      <patternFill patternType="solid">
        <fgColor rgb="FFFF7C80"/>
        <bgColor rgb="FFFF7C80"/>
      </patternFill>
    </fill>
    <fill>
      <patternFill patternType="solid">
        <fgColor rgb="FFE5DFEC"/>
        <bgColor rgb="FFE5DFEC"/>
      </patternFill>
    </fill>
    <fill>
      <patternFill patternType="solid">
        <fgColor rgb="FFFFFF00"/>
        <bgColor rgb="FFFFFF00"/>
      </patternFill>
    </fill>
    <fill>
      <patternFill patternType="solid">
        <fgColor rgb="FF548DD4"/>
        <bgColor rgb="FF548DD4"/>
      </patternFill>
    </fill>
    <fill>
      <patternFill patternType="solid">
        <fgColor theme="9"/>
        <bgColor theme="9"/>
      </patternFill>
    </fill>
    <fill>
      <patternFill patternType="solid">
        <fgColor rgb="FF009900"/>
        <bgColor rgb="FF009900"/>
      </patternFill>
    </fill>
    <fill>
      <patternFill patternType="solid">
        <fgColor rgb="FF4A86E8"/>
        <bgColor rgb="FF4A86E8"/>
      </patternFill>
    </fill>
  </fills>
  <borders count="37">
    <border/>
    <border>
      <bottom style="thin">
        <color rgb="FF000000"/>
      </bottom>
    </border>
    <border>
      <left style="medium">
        <color rgb="FF000000"/>
      </left>
      <top style="medium">
        <color rgb="FF000000"/>
      </top>
    </border>
    <border>
      <top style="medium">
        <color rgb="FF000000"/>
      </top>
    </border>
    <border>
      <right style="thick">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ck">
        <color rgb="FF000000"/>
      </right>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bottom style="thin">
        <color rgb="FF000000"/>
      </bottom>
    </border>
    <border>
      <left style="medium">
        <color rgb="FF000000"/>
      </left>
      <bottom style="medium">
        <color rgb="FF000000"/>
      </bottom>
    </border>
    <border>
      <bottom style="medium">
        <color rgb="FF000000"/>
      </bottom>
    </border>
    <border>
      <right style="thick">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top style="thin">
        <color rgb="FF000000"/>
      </top>
      <bottom style="thin">
        <color rgb="FF000000"/>
      </bottom>
    </border>
    <border>
      <left style="thin">
        <color rgb="FF000000"/>
      </left>
      <right/>
      <top/>
      <bottom/>
    </border>
    <border>
      <top style="thick">
        <color rgb="FF000000"/>
      </top>
    </border>
    <border>
      <right style="thick">
        <color rgb="FF000000"/>
      </right>
      <top style="thick">
        <color rgb="FF000000"/>
      </top>
    </border>
    <border>
      <left style="thin">
        <color rgb="FF000000"/>
      </left>
      <top/>
      <bottom style="thin">
        <color rgb="FF000000"/>
      </bottom>
    </border>
    <border>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thick">
        <color rgb="FF000000"/>
      </right>
      <top style="thin">
        <color rgb="FF000000"/>
      </top>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Font="1"/>
    <xf borderId="0" fillId="0" fontId="3" numFmtId="0" xfId="0" applyAlignment="1" applyFont="1">
      <alignment horizontal="center"/>
    </xf>
    <xf borderId="0" fillId="0" fontId="1" numFmtId="0" xfId="0" applyFont="1"/>
    <xf borderId="0" fillId="0" fontId="1" numFmtId="0" xfId="0" applyAlignment="1" applyFont="1">
      <alignment horizontal="left"/>
    </xf>
    <xf borderId="1" fillId="0" fontId="1" numFmtId="10" xfId="0" applyAlignment="1" applyBorder="1" applyFont="1" applyNumberFormat="1">
      <alignment horizontal="center"/>
    </xf>
    <xf borderId="1" fillId="0" fontId="4" numFmtId="0" xfId="0" applyBorder="1" applyFont="1"/>
    <xf borderId="2" fillId="0" fontId="2" numFmtId="0" xfId="0" applyBorder="1" applyFont="1"/>
    <xf borderId="3" fillId="0" fontId="5" numFmtId="0" xfId="0" applyBorder="1" applyFont="1"/>
    <xf borderId="3" fillId="0" fontId="5" numFmtId="0" xfId="0" applyAlignment="1" applyBorder="1" applyFont="1">
      <alignment horizontal="left"/>
    </xf>
    <xf borderId="3" fillId="0" fontId="5" numFmtId="0" xfId="0" applyAlignment="1" applyBorder="1" applyFont="1">
      <alignment horizontal="center"/>
    </xf>
    <xf borderId="3" fillId="0" fontId="6" numFmtId="0" xfId="0" applyAlignment="1" applyBorder="1" applyFont="1">
      <alignment vertical="bottom"/>
    </xf>
    <xf borderId="4" fillId="0" fontId="6" numFmtId="0" xfId="0" applyAlignment="1" applyBorder="1" applyFont="1">
      <alignment vertical="bottom"/>
    </xf>
    <xf borderId="5" fillId="0" fontId="1" numFmtId="0" xfId="0" applyAlignment="1" applyBorder="1" applyFont="1">
      <alignment horizontal="center"/>
    </xf>
    <xf borderId="0" fillId="0" fontId="7" numFmtId="0" xfId="0" applyAlignment="1" applyFont="1">
      <alignment horizontal="center"/>
    </xf>
    <xf borderId="6" fillId="0" fontId="2" numFmtId="0" xfId="0" applyBorder="1" applyFont="1"/>
    <xf borderId="0" fillId="0" fontId="5" numFmtId="0" xfId="0" applyFont="1"/>
    <xf borderId="7" fillId="2" fontId="5" numFmtId="0" xfId="0" applyAlignment="1" applyBorder="1" applyFill="1" applyFont="1">
      <alignment horizontal="center"/>
    </xf>
    <xf borderId="8" fillId="2" fontId="5" numFmtId="0" xfId="0" applyAlignment="1" applyBorder="1" applyFont="1">
      <alignment horizontal="center"/>
    </xf>
    <xf borderId="9" fillId="0" fontId="4" numFmtId="0" xfId="0" applyBorder="1" applyFont="1"/>
    <xf borderId="10" fillId="0" fontId="4" numFmtId="0" xfId="0" applyBorder="1" applyFont="1"/>
    <xf borderId="11" fillId="0" fontId="6" numFmtId="0" xfId="0" applyAlignment="1" applyBorder="1" applyFont="1">
      <alignment vertical="bottom"/>
    </xf>
    <xf borderId="12" fillId="0" fontId="6" numFmtId="0" xfId="0" applyAlignment="1" applyBorder="1" applyFont="1">
      <alignment vertical="bottom"/>
    </xf>
    <xf borderId="0" fillId="0" fontId="1" numFmtId="0" xfId="0" applyAlignment="1" applyFont="1">
      <alignment horizontal="center"/>
    </xf>
    <xf borderId="0" fillId="0" fontId="5" numFmtId="0" xfId="0" applyAlignment="1" applyFont="1">
      <alignment horizontal="center"/>
    </xf>
    <xf borderId="7" fillId="2" fontId="5" numFmtId="0" xfId="0" applyBorder="1" applyFont="1"/>
    <xf borderId="0" fillId="0" fontId="6" numFmtId="0" xfId="0" applyAlignment="1" applyFont="1">
      <alignment vertical="bottom"/>
    </xf>
    <xf borderId="8" fillId="0" fontId="1" numFmtId="0" xfId="0" applyAlignment="1" applyBorder="1" applyFont="1">
      <alignment horizontal="center"/>
    </xf>
    <xf borderId="11" fillId="0" fontId="7" numFmtId="0" xfId="0" applyAlignment="1" applyBorder="1" applyFont="1">
      <alignment horizontal="center"/>
    </xf>
    <xf borderId="13" fillId="0" fontId="6" numFmtId="0" xfId="0" applyAlignment="1" applyBorder="1" applyFont="1">
      <alignment vertical="bottom"/>
    </xf>
    <xf borderId="14" fillId="0" fontId="6" numFmtId="0" xfId="0" applyAlignment="1" applyBorder="1" applyFont="1">
      <alignment vertical="bottom"/>
    </xf>
    <xf borderId="15" fillId="0" fontId="6" numFmtId="0" xfId="0" applyAlignment="1" applyBorder="1" applyFont="1">
      <alignment vertical="bottom"/>
    </xf>
    <xf borderId="0" fillId="0" fontId="5" numFmtId="0" xfId="0" applyAlignment="1" applyFont="1">
      <alignment vertical="bottom"/>
    </xf>
    <xf borderId="12" fillId="0" fontId="4" numFmtId="0" xfId="0" applyBorder="1" applyFont="1"/>
    <xf borderId="5" fillId="2" fontId="1" numFmtId="0" xfId="0" applyAlignment="1" applyBorder="1" applyFont="1">
      <alignment horizontal="center"/>
    </xf>
    <xf borderId="1" fillId="0" fontId="5" numFmtId="0" xfId="0" applyAlignment="1" applyBorder="1" applyFont="1">
      <alignment shrinkToFit="0" vertical="bottom" wrapText="0"/>
    </xf>
    <xf borderId="1" fillId="0" fontId="6" numFmtId="0" xfId="0" applyAlignment="1" applyBorder="1" applyFont="1">
      <alignment vertical="bottom"/>
    </xf>
    <xf borderId="1" fillId="0" fontId="5" numFmtId="0" xfId="0" applyAlignment="1" applyBorder="1" applyFont="1">
      <alignment vertical="bottom"/>
    </xf>
    <xf borderId="1" fillId="3" fontId="8" numFmtId="0" xfId="0" applyAlignment="1" applyBorder="1" applyFill="1" applyFont="1">
      <alignment shrinkToFit="0" vertical="bottom" wrapText="0"/>
    </xf>
    <xf borderId="16" fillId="0" fontId="6" numFmtId="0" xfId="0" applyAlignment="1" applyBorder="1" applyFont="1">
      <alignment vertical="bottom"/>
    </xf>
    <xf borderId="5" fillId="4" fontId="5" numFmtId="0" xfId="0" applyBorder="1" applyFill="1" applyFont="1"/>
    <xf borderId="17" fillId="0" fontId="5" numFmtId="0" xfId="0" applyAlignment="1" applyBorder="1" applyFont="1">
      <alignment vertical="bottom"/>
    </xf>
    <xf borderId="8" fillId="2" fontId="1" numFmtId="0" xfId="0" applyAlignment="1" applyBorder="1" applyFont="1">
      <alignment horizontal="center"/>
    </xf>
    <xf borderId="0" fillId="0" fontId="9" numFmtId="0" xfId="0" applyFont="1"/>
    <xf borderId="18" fillId="0" fontId="6" numFmtId="0" xfId="0" applyAlignment="1" applyBorder="1" applyFont="1">
      <alignment vertical="bottom"/>
    </xf>
    <xf borderId="19" fillId="3" fontId="5" numFmtId="0" xfId="0" applyAlignment="1" applyBorder="1" applyFont="1">
      <alignment horizontal="right" vertical="bottom"/>
    </xf>
    <xf borderId="19" fillId="5" fontId="6" numFmtId="0" xfId="0" applyAlignment="1" applyBorder="1" applyFill="1" applyFont="1">
      <alignment vertical="bottom"/>
    </xf>
    <xf borderId="1" fillId="0" fontId="5" numFmtId="14" xfId="0" applyAlignment="1" applyBorder="1" applyFont="1" applyNumberFormat="1">
      <alignment horizontal="center" vertical="bottom"/>
    </xf>
    <xf borderId="19" fillId="0" fontId="4" numFmtId="0" xfId="0" applyBorder="1" applyFont="1"/>
    <xf borderId="16" fillId="3" fontId="6" numFmtId="0" xfId="0" applyAlignment="1" applyBorder="1" applyFont="1">
      <alignment vertical="bottom"/>
    </xf>
    <xf borderId="1" fillId="0" fontId="5" numFmtId="0" xfId="0" applyAlignment="1" applyBorder="1" applyFont="1">
      <alignment horizontal="right" vertical="bottom"/>
    </xf>
    <xf borderId="19" fillId="0" fontId="10" numFmtId="0" xfId="0" applyAlignment="1" applyBorder="1" applyFont="1">
      <alignment vertical="bottom"/>
    </xf>
    <xf borderId="5" fillId="0" fontId="1" numFmtId="0" xfId="0" applyBorder="1" applyFont="1"/>
    <xf borderId="8" fillId="0" fontId="5" numFmtId="0" xfId="0" applyAlignment="1" applyBorder="1" applyFont="1">
      <alignment horizontal="center"/>
    </xf>
    <xf borderId="8" fillId="0" fontId="5" numFmtId="164" xfId="0" applyAlignment="1" applyBorder="1" applyFont="1" applyNumberFormat="1">
      <alignment horizontal="center"/>
    </xf>
    <xf borderId="7" fillId="3" fontId="5" numFmtId="0" xfId="0" applyBorder="1" applyFont="1"/>
    <xf borderId="5" fillId="3" fontId="5" numFmtId="0" xfId="0" applyBorder="1" applyFont="1"/>
    <xf borderId="5" fillId="5" fontId="5" numFmtId="0" xfId="0" applyBorder="1" applyFont="1"/>
    <xf borderId="17" fillId="3" fontId="11" numFmtId="0" xfId="0" applyAlignment="1" applyBorder="1" applyFont="1">
      <alignment horizontal="right" vertical="bottom"/>
    </xf>
    <xf borderId="17" fillId="0" fontId="6" numFmtId="0" xfId="0" applyAlignment="1" applyBorder="1" applyFont="1">
      <alignment vertical="bottom"/>
    </xf>
    <xf borderId="19" fillId="6" fontId="6" numFmtId="0" xfId="0" applyAlignment="1" applyBorder="1" applyFill="1" applyFont="1">
      <alignment vertical="bottom"/>
    </xf>
    <xf borderId="5" fillId="6" fontId="5" numFmtId="0" xfId="0" applyBorder="1" applyFont="1"/>
    <xf borderId="0" fillId="3" fontId="6" numFmtId="0" xfId="0" applyAlignment="1" applyFont="1">
      <alignment vertical="bottom"/>
    </xf>
    <xf borderId="0" fillId="0" fontId="5" numFmtId="49" xfId="0" applyAlignment="1" applyFont="1" applyNumberFormat="1">
      <alignment horizontal="center"/>
    </xf>
    <xf borderId="0" fillId="0" fontId="5" numFmtId="0" xfId="0" applyAlignment="1" applyFont="1">
      <alignment horizontal="right"/>
    </xf>
    <xf borderId="19" fillId="7" fontId="6" numFmtId="0" xfId="0" applyAlignment="1" applyBorder="1" applyFill="1" applyFont="1">
      <alignment vertical="bottom"/>
    </xf>
    <xf borderId="1" fillId="0" fontId="6" numFmtId="14" xfId="0" applyAlignment="1" applyBorder="1" applyFont="1" applyNumberFormat="1">
      <alignment horizontal="right" vertical="bottom"/>
    </xf>
    <xf borderId="5" fillId="7" fontId="5" numFmtId="0" xfId="0" applyBorder="1" applyFont="1"/>
    <xf borderId="0" fillId="0" fontId="5" numFmtId="0" xfId="0" applyAlignment="1" applyFont="1">
      <alignment horizontal="left"/>
    </xf>
    <xf borderId="19" fillId="8" fontId="6" numFmtId="0" xfId="0" applyAlignment="1" applyBorder="1" applyFill="1" applyFont="1">
      <alignment vertical="bottom"/>
    </xf>
    <xf borderId="5" fillId="8" fontId="5" numFmtId="0" xfId="0" applyBorder="1" applyFont="1"/>
    <xf borderId="19" fillId="9" fontId="6" numFmtId="0" xfId="0" applyAlignment="1" applyBorder="1" applyFill="1" applyFont="1">
      <alignment vertical="bottom"/>
    </xf>
    <xf borderId="5" fillId="9" fontId="5" numFmtId="0" xfId="0" applyBorder="1" applyFont="1"/>
    <xf borderId="19" fillId="3" fontId="11" numFmtId="0" xfId="0" applyAlignment="1" applyBorder="1" applyFont="1">
      <alignment horizontal="right" vertical="bottom"/>
    </xf>
    <xf borderId="19" fillId="10" fontId="6" numFmtId="0" xfId="0" applyAlignment="1" applyBorder="1" applyFill="1" applyFont="1">
      <alignment vertical="bottom"/>
    </xf>
    <xf borderId="1" fillId="0" fontId="6" numFmtId="14" xfId="0" applyAlignment="1" applyBorder="1" applyFont="1" applyNumberFormat="1">
      <alignment vertical="bottom"/>
    </xf>
    <xf borderId="5" fillId="10" fontId="5" numFmtId="0" xfId="0" applyBorder="1" applyFont="1"/>
    <xf borderId="20" fillId="0" fontId="6" numFmtId="0" xfId="0" applyAlignment="1" applyBorder="1" applyFont="1">
      <alignment vertical="bottom"/>
    </xf>
    <xf borderId="19" fillId="0" fontId="6" numFmtId="0" xfId="0" applyAlignment="1" applyBorder="1" applyFont="1">
      <alignment vertical="bottom"/>
    </xf>
    <xf borderId="0" fillId="0" fontId="12" numFmtId="0" xfId="0" applyFont="1"/>
    <xf borderId="0" fillId="0" fontId="12" numFmtId="0" xfId="0" applyAlignment="1" applyFont="1">
      <alignment horizontal="right"/>
    </xf>
    <xf borderId="21" fillId="0" fontId="2" numFmtId="0" xfId="0" applyBorder="1" applyFont="1"/>
    <xf borderId="22" fillId="0" fontId="2" numFmtId="0" xfId="0" applyBorder="1" applyFont="1"/>
    <xf borderId="22" fillId="0" fontId="1" numFmtId="0" xfId="0" applyAlignment="1" applyBorder="1" applyFont="1">
      <alignment horizontal="right"/>
    </xf>
    <xf borderId="22" fillId="0" fontId="6" numFmtId="0" xfId="0" applyAlignment="1" applyBorder="1" applyFont="1">
      <alignment vertical="bottom"/>
    </xf>
    <xf borderId="23" fillId="0" fontId="6" numFmtId="0" xfId="0" applyAlignment="1" applyBorder="1" applyFont="1">
      <alignment vertical="bottom"/>
    </xf>
    <xf borderId="20" fillId="0" fontId="1" numFmtId="0" xfId="0" applyAlignment="1" applyBorder="1" applyFont="1">
      <alignment horizontal="center"/>
    </xf>
    <xf borderId="24" fillId="0" fontId="1" numFmtId="0" xfId="0" applyAlignment="1" applyBorder="1" applyFont="1">
      <alignment horizontal="center"/>
    </xf>
    <xf borderId="7" fillId="6" fontId="2" numFmtId="0" xfId="0" applyBorder="1" applyFont="1"/>
    <xf borderId="7" fillId="11" fontId="5" numFmtId="0" xfId="0" applyBorder="1" applyFill="1" applyFont="1"/>
    <xf borderId="7" fillId="12" fontId="5" numFmtId="0" xfId="0" applyBorder="1" applyFill="1" applyFont="1"/>
    <xf borderId="7" fillId="10" fontId="5" numFmtId="0" xfId="0" applyBorder="1" applyFont="1"/>
    <xf borderId="25" fillId="2" fontId="1" numFmtId="0" xfId="0" applyAlignment="1" applyBorder="1" applyFont="1">
      <alignment horizontal="center"/>
    </xf>
    <xf borderId="26" fillId="2" fontId="1" numFmtId="0" xfId="0" applyAlignment="1" applyBorder="1" applyFont="1">
      <alignment horizontal="center"/>
    </xf>
    <xf borderId="0" fillId="0" fontId="2" numFmtId="0" xfId="0" applyAlignment="1" applyFont="1">
      <alignment horizontal="right"/>
    </xf>
    <xf borderId="9" fillId="0" fontId="1" numFmtId="0" xfId="0" applyAlignment="1" applyBorder="1" applyFont="1">
      <alignment horizontal="center"/>
    </xf>
    <xf borderId="11" fillId="0" fontId="5" numFmtId="0" xfId="0" applyBorder="1" applyFont="1"/>
    <xf borderId="1" fillId="0" fontId="1" numFmtId="0" xfId="0" applyAlignment="1" applyBorder="1" applyFont="1">
      <alignment horizontal="center"/>
    </xf>
    <xf borderId="7" fillId="13" fontId="2" numFmtId="0" xfId="0" applyBorder="1" applyFill="1" applyFont="1"/>
    <xf borderId="5" fillId="2" fontId="13" numFmtId="0" xfId="0" applyAlignment="1" applyBorder="1" applyFont="1">
      <alignment horizontal="center"/>
    </xf>
    <xf borderId="8" fillId="3" fontId="1" numFmtId="0" xfId="0" applyAlignment="1" applyBorder="1" applyFont="1">
      <alignment horizontal="center"/>
    </xf>
    <xf borderId="5" fillId="3" fontId="1" numFmtId="0" xfId="0" applyAlignment="1" applyBorder="1" applyFont="1">
      <alignment horizontal="center"/>
    </xf>
    <xf borderId="27" fillId="2" fontId="5" numFmtId="0" xfId="0" applyBorder="1" applyFont="1"/>
    <xf borderId="5" fillId="0" fontId="5" numFmtId="0" xfId="0" applyBorder="1" applyFont="1"/>
    <xf borderId="0" fillId="0" fontId="14" numFmtId="0" xfId="0" applyFont="1"/>
    <xf borderId="0" fillId="0" fontId="15" numFmtId="0" xfId="0" applyFont="1"/>
    <xf borderId="0" fillId="0" fontId="16" numFmtId="0" xfId="0" applyAlignment="1" applyFont="1">
      <alignment horizontal="right"/>
    </xf>
    <xf borderId="0" fillId="0" fontId="16" numFmtId="0" xfId="0" applyFont="1"/>
    <xf borderId="0" fillId="0" fontId="17" numFmtId="0" xfId="0" applyFont="1"/>
    <xf borderId="28" fillId="0" fontId="6" numFmtId="0" xfId="0" applyAlignment="1" applyBorder="1" applyFont="1">
      <alignment vertical="bottom"/>
    </xf>
    <xf borderId="29" fillId="0" fontId="6" numFmtId="0" xfId="0" applyAlignment="1" applyBorder="1" applyFont="1">
      <alignment vertical="bottom"/>
    </xf>
    <xf borderId="8" fillId="0" fontId="5" numFmtId="14" xfId="0" applyAlignment="1" applyBorder="1" applyFont="1" applyNumberFormat="1">
      <alignment horizontal="center"/>
    </xf>
    <xf borderId="17" fillId="0" fontId="5" numFmtId="0" xfId="0" applyAlignment="1" applyBorder="1" applyFont="1">
      <alignment horizontal="right" vertical="bottom"/>
    </xf>
    <xf borderId="0" fillId="3" fontId="11" numFmtId="0" xfId="0" applyAlignment="1" applyFont="1">
      <alignment horizontal="right" vertical="bottom"/>
    </xf>
    <xf borderId="5" fillId="2" fontId="1" numFmtId="0" xfId="0" applyBorder="1" applyFont="1"/>
    <xf borderId="30" fillId="2" fontId="1" numFmtId="0" xfId="0" applyAlignment="1" applyBorder="1" applyFont="1">
      <alignment horizontal="center"/>
    </xf>
    <xf borderId="31" fillId="0" fontId="4" numFmtId="0" xfId="0" applyBorder="1" applyFont="1"/>
    <xf borderId="5" fillId="3" fontId="11" numFmtId="0" xfId="0" applyAlignment="1" applyBorder="1" applyFont="1">
      <alignment horizontal="right" vertical="bottom"/>
    </xf>
    <xf borderId="0" fillId="0" fontId="18" numFmtId="0" xfId="0" applyFont="1"/>
    <xf borderId="0" fillId="0" fontId="10" numFmtId="0" xfId="0" applyFont="1"/>
    <xf borderId="32" fillId="3" fontId="1" numFmtId="0" xfId="0" applyBorder="1" applyFont="1"/>
    <xf borderId="33" fillId="3" fontId="1" numFmtId="0" xfId="0" applyBorder="1" applyFont="1"/>
    <xf borderId="32" fillId="2" fontId="1" numFmtId="0" xfId="0" applyBorder="1" applyFont="1"/>
    <xf borderId="33" fillId="2" fontId="1" numFmtId="0" xfId="0" applyBorder="1" applyFont="1"/>
    <xf borderId="34" fillId="2" fontId="1" numFmtId="0" xfId="0" applyAlignment="1" applyBorder="1" applyFont="1">
      <alignment horizontal="center"/>
    </xf>
    <xf borderId="35" fillId="0" fontId="4" numFmtId="0" xfId="0" applyBorder="1" applyFont="1"/>
    <xf borderId="0" fillId="0" fontId="19" numFmtId="0" xfId="0" applyFont="1"/>
    <xf borderId="4" fillId="0" fontId="5" numFmtId="0" xfId="0" applyBorder="1" applyFont="1"/>
    <xf borderId="12" fillId="0" fontId="5" numFmtId="0" xfId="0" applyBorder="1" applyFont="1"/>
    <xf borderId="13" fillId="0" fontId="3" numFmtId="0" xfId="0" applyAlignment="1" applyBorder="1" applyFont="1">
      <alignment horizontal="center"/>
    </xf>
    <xf borderId="14" fillId="0" fontId="3" numFmtId="0" xfId="0" applyAlignment="1" applyBorder="1" applyFont="1">
      <alignment horizontal="center"/>
    </xf>
    <xf borderId="15" fillId="0" fontId="3" numFmtId="0" xfId="0" applyAlignment="1" applyBorder="1" applyFont="1">
      <alignment horizontal="center"/>
    </xf>
    <xf borderId="11" fillId="0" fontId="3" numFmtId="0" xfId="0" applyAlignment="1" applyBorder="1" applyFont="1">
      <alignment horizontal="center"/>
    </xf>
    <xf borderId="0" fillId="3" fontId="8" numFmtId="0" xfId="0" applyAlignment="1" applyFont="1">
      <alignment shrinkToFit="0" vertical="bottom" wrapText="0"/>
    </xf>
    <xf borderId="16" fillId="0" fontId="3" numFmtId="0" xfId="0" applyAlignment="1" applyBorder="1" applyFont="1">
      <alignment horizontal="center"/>
    </xf>
    <xf borderId="11" fillId="0" fontId="6" numFmtId="0" xfId="0" applyBorder="1" applyFont="1"/>
    <xf borderId="24" fillId="3" fontId="5" numFmtId="0" xfId="0" applyAlignment="1" applyBorder="1" applyFont="1">
      <alignment horizontal="right" vertical="bottom"/>
    </xf>
    <xf borderId="19" fillId="14" fontId="6" numFmtId="0" xfId="0" applyAlignment="1" applyBorder="1" applyFill="1" applyFont="1">
      <alignment vertical="bottom"/>
    </xf>
    <xf borderId="16" fillId="0" fontId="5" numFmtId="0" xfId="0" applyAlignment="1" applyBorder="1" applyFont="1">
      <alignment vertical="bottom"/>
    </xf>
    <xf borderId="8" fillId="0" fontId="5" numFmtId="0" xfId="0" applyAlignment="1" applyBorder="1" applyFont="1">
      <alignment horizontal="right" vertical="bottom"/>
    </xf>
    <xf borderId="10" fillId="0" fontId="10" numFmtId="0" xfId="0" applyAlignment="1" applyBorder="1" applyFont="1">
      <alignment vertical="bottom"/>
    </xf>
    <xf borderId="16" fillId="0" fontId="6" numFmtId="0" xfId="0" applyBorder="1" applyFont="1"/>
    <xf borderId="5" fillId="14" fontId="5" numFmtId="0" xfId="0" applyBorder="1" applyFont="1"/>
    <xf borderId="36" fillId="0" fontId="5" numFmtId="0" xfId="0" applyAlignment="1" applyBorder="1" applyFont="1">
      <alignment horizontal="right" vertical="bottom"/>
    </xf>
    <xf borderId="0" fillId="0" fontId="10" numFmtId="0" xfId="0" applyAlignment="1" applyFont="1">
      <alignment vertical="bottom"/>
    </xf>
    <xf borderId="5" fillId="14" fontId="1" numFmtId="0" xfId="0" applyAlignment="1" applyBorder="1" applyFont="1">
      <alignment horizontal="center"/>
    </xf>
    <xf borderId="8" fillId="14" fontId="1" numFmtId="0" xfId="0" applyAlignment="1" applyBorder="1" applyFont="1">
      <alignment horizontal="center"/>
    </xf>
    <xf borderId="36" fillId="3" fontId="20" numFmtId="0" xfId="0" applyBorder="1" applyFont="1"/>
    <xf borderId="1" fillId="0" fontId="5" numFmtId="164" xfId="0" applyBorder="1" applyFont="1" applyNumberFormat="1"/>
    <xf borderId="0" fillId="10" fontId="1" numFmtId="0" xfId="0" applyAlignment="1" applyFont="1">
      <alignment horizontal="right"/>
    </xf>
    <xf borderId="20" fillId="0" fontId="6" numFmtId="0" xfId="0" applyBorder="1" applyFont="1"/>
    <xf borderId="1" fillId="0" fontId="6" numFmtId="0" xfId="0" applyBorder="1" applyFont="1"/>
    <xf borderId="1" fillId="0" fontId="1" numFmtId="0" xfId="0" applyAlignment="1" applyBorder="1" applyFont="1">
      <alignment horizontal="right"/>
    </xf>
    <xf borderId="19" fillId="0" fontId="6" numFmtId="0" xfId="0" applyBorder="1" applyFont="1"/>
    <xf borderId="12" fillId="0" fontId="12" numFmtId="0" xfId="0" applyBorder="1" applyFont="1"/>
    <xf borderId="23" fillId="0" fontId="2" numFmtId="0" xfId="0" applyBorder="1" applyFont="1"/>
    <xf borderId="20" fillId="14" fontId="1" numFmtId="0" xfId="0" applyAlignment="1" applyBorder="1" applyFont="1">
      <alignment horizontal="center"/>
    </xf>
    <xf borderId="26" fillId="14" fontId="1" numFmtId="0" xfId="0" applyAlignment="1" applyBorder="1" applyFont="1">
      <alignment horizontal="center"/>
    </xf>
    <xf borderId="9" fillId="14" fontId="1" numFmtId="0" xfId="0" applyAlignment="1" applyBorder="1" applyFont="1">
      <alignment horizontal="center"/>
    </xf>
    <xf borderId="5" fillId="14" fontId="13" numFmtId="0" xfId="0" applyAlignment="1" applyBorder="1" applyFont="1">
      <alignment horizontal="center"/>
    </xf>
    <xf borderId="28" fillId="0" fontId="5" numFmtId="0" xfId="0" applyAlignment="1" applyBorder="1" applyFont="1">
      <alignment horizontal="left"/>
    </xf>
    <xf borderId="29" fillId="0" fontId="5" numFmtId="0" xfId="0" applyBorder="1" applyFont="1"/>
    <xf borderId="5" fillId="14" fontId="1" numFmtId="0" xfId="0" applyBorder="1" applyFont="1"/>
    <xf borderId="30" fillId="14" fontId="1" numFmtId="0" xfId="0" applyAlignment="1" applyBorder="1" applyFont="1">
      <alignment horizontal="center"/>
    </xf>
    <xf borderId="34" fillId="14" fontId="1" numFmtId="0" xfId="0" applyAlignment="1" applyBorder="1" applyFont="1">
      <alignment horizontal="center"/>
    </xf>
    <xf borderId="0" fillId="0" fontId="6" numFmtId="0" xfId="0" applyFont="1"/>
  </cellXfs>
  <cellStyles count="1">
    <cellStyle xfId="0" name="Normal" builtinId="0"/>
  </cellStyles>
  <dxfs count="7">
    <dxf>
      <font/>
      <fill>
        <patternFill patternType="solid">
          <fgColor rgb="FFFFFF00"/>
          <bgColor rgb="FFFFFF00"/>
        </patternFill>
      </fill>
      <border/>
    </dxf>
    <dxf>
      <font/>
      <fill>
        <patternFill patternType="solid">
          <fgColor rgb="FFE5DFEC"/>
          <bgColor rgb="FFE5DFEC"/>
        </patternFill>
      </fill>
      <border/>
    </dxf>
    <dxf>
      <font/>
      <fill>
        <patternFill patternType="solid">
          <fgColor rgb="FFFF7C80"/>
          <bgColor rgb="FFFF7C80"/>
        </patternFill>
      </fill>
      <border/>
    </dxf>
    <dxf>
      <font/>
      <fill>
        <patternFill patternType="solid">
          <fgColor rgb="FFFFC000"/>
          <bgColor rgb="FFFFC000"/>
        </patternFill>
      </fill>
      <border/>
    </dxf>
    <dxf>
      <font/>
      <fill>
        <patternFill patternType="solid">
          <fgColor rgb="FF92D050"/>
          <bgColor rgb="FF92D050"/>
        </patternFill>
      </fill>
      <border/>
    </dxf>
    <dxf>
      <font/>
      <fill>
        <patternFill patternType="solid">
          <fgColor rgb="FF8DB3E2"/>
          <bgColor rgb="FF8DB3E2"/>
        </patternFill>
      </fill>
      <border/>
    </dxf>
    <dxf>
      <font>
        <color theme="0"/>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openxmlformats.org/officeDocument/2006/relationships/worksheet" Target="worksheets/sheet1.xml" /><ns0:Relationship Id="rId8" Type="http://customschemas.google.com/relationships/workbookmetadata" Target="metadata" /></ns0: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 % of individual criteria met within each specific category</a:t>
            </a:r>
          </a:p>
        </c:rich>
      </c:tx>
      <c:overlay val="0"/>
    </c:title>
    <c:plotArea>
      <c:layout/>
      <c:barChart>
        <c:barDir val="col"/>
        <c:ser>
          <c:idx val="0"/>
          <c:order val="0"/>
          <c:spPr>
            <a:solidFill>
              <a:schemeClr val="accent1"/>
            </a:solidFill>
            <a:ln cmpd="sng">
              <a:solidFill>
                <a:srgbClr val="000000"/>
              </a:solidFill>
            </a:ln>
          </c:spPr>
          <c:dPt>
            <c:idx val="0"/>
            <c:spPr>
              <a:solidFill>
                <a:srgbClr val="92D050"/>
              </a:solidFill>
              <a:ln cmpd="sng">
                <a:solidFill>
                  <a:srgbClr val="000000"/>
                </a:solidFill>
              </a:ln>
            </c:spPr>
          </c:dPt>
          <c:dPt>
            <c:idx val="1"/>
            <c:spPr>
              <a:solidFill>
                <a:srgbClr val="92D050"/>
              </a:solidFill>
              <a:ln cmpd="sng">
                <a:solidFill>
                  <a:srgbClr val="000000"/>
                </a:solidFill>
              </a:ln>
            </c:spPr>
          </c:dPt>
          <c:dPt>
            <c:idx val="2"/>
            <c:spPr>
              <a:solidFill>
                <a:srgbClr val="92D050"/>
              </a:solidFill>
              <a:ln cmpd="sng">
                <a:solidFill>
                  <a:srgbClr val="000000"/>
                </a:solidFill>
              </a:ln>
            </c:spPr>
          </c:dPt>
          <c:dPt>
            <c:idx val="3"/>
            <c:spPr>
              <a:solidFill>
                <a:srgbClr val="92D050"/>
              </a:solidFill>
              <a:ln cmpd="sng">
                <a:solidFill>
                  <a:srgbClr val="000000"/>
                </a:solidFill>
              </a:ln>
            </c:spPr>
          </c:dPt>
          <c:dPt>
            <c:idx val="4"/>
            <c:spPr>
              <a:solidFill>
                <a:srgbClr val="92D050"/>
              </a:solidFill>
              <a:ln cmpd="sng">
                <a:solidFill>
                  <a:srgbClr val="000000"/>
                </a:solidFill>
              </a:ln>
            </c:spPr>
          </c:dPt>
          <c:dPt>
            <c:idx val="5"/>
            <c:spPr>
              <a:solidFill>
                <a:srgbClr val="92D050"/>
              </a:solidFill>
              <a:ln cmpd="sng">
                <a:solidFill>
                  <a:srgbClr val="000000"/>
                </a:solidFill>
              </a:ln>
            </c:spPr>
          </c:dPt>
          <c:dPt>
            <c:idx val="6"/>
            <c:spPr>
              <a:solidFill>
                <a:srgbClr val="92D050"/>
              </a:solidFill>
              <a:ln cmpd="sng">
                <a:solidFill>
                  <a:srgbClr val="000000"/>
                </a:solidFill>
              </a:ln>
            </c:spPr>
          </c:dPt>
          <c:dPt>
            <c:idx val="7"/>
            <c:spPr>
              <a:solidFill>
                <a:srgbClr val="92D050"/>
              </a:solidFill>
              <a:ln cmpd="sng">
                <a:solidFill>
                  <a:srgbClr val="000000"/>
                </a:solidFill>
              </a:ln>
            </c:spPr>
          </c:dPt>
          <c:dPt>
            <c:idx val="8"/>
            <c:spPr>
              <a:solidFill>
                <a:srgbClr val="92D050"/>
              </a:solidFill>
              <a:ln cmpd="sng">
                <a:solidFill>
                  <a:srgbClr val="000000"/>
                </a:solidFill>
              </a:ln>
            </c:spPr>
          </c:dPt>
          <c:dPt>
            <c:idx val="9"/>
            <c:spPr>
              <a:solidFill>
                <a:srgbClr val="92D050"/>
              </a:solidFill>
              <a:ln cmpd="sng">
                <a:solidFill>
                  <a:srgbClr val="000000"/>
                </a:solidFill>
              </a:ln>
            </c:spPr>
          </c:dPt>
          <c:dPt>
            <c:idx val="10"/>
            <c:spPr>
              <a:solidFill>
                <a:srgbClr val="009900"/>
              </a:solidFill>
              <a:ln cmpd="sng">
                <a:solidFill>
                  <a:srgbClr val="000000"/>
                </a:solidFill>
              </a:ln>
            </c:spPr>
          </c:dPt>
          <c:dPt>
            <c:idx val="11"/>
            <c:spPr>
              <a:solidFill>
                <a:srgbClr val="009900"/>
              </a:solidFill>
              <a:ln cmpd="sng">
                <a:solidFill>
                  <a:srgbClr val="000000"/>
                </a:solidFill>
              </a:ln>
            </c:spPr>
          </c:dPt>
          <c:dPt>
            <c:idx val="12"/>
            <c:spPr>
              <a:solidFill>
                <a:srgbClr val="009900"/>
              </a:solidFill>
              <a:ln cmpd="sng">
                <a:solidFill>
                  <a:srgbClr val="000000"/>
                </a:solidFill>
              </a:ln>
            </c:spPr>
          </c:dPt>
          <c:dPt>
            <c:idx val="13"/>
            <c:spPr>
              <a:solidFill>
                <a:srgbClr val="009900"/>
              </a:solidFill>
              <a:ln cmpd="sng">
                <a:solidFill>
                  <a:srgbClr val="000000"/>
                </a:solidFill>
              </a:ln>
            </c:spPr>
          </c:dPt>
          <c:dPt>
            <c:idx val="14"/>
            <c:spPr>
              <a:solidFill>
                <a:srgbClr val="009900"/>
              </a:solidFill>
              <a:ln cmpd="sng">
                <a:solidFill>
                  <a:srgbClr val="000000"/>
                </a:solidFill>
              </a:ln>
            </c:spPr>
          </c:dPt>
          <c:dPt>
            <c:idx val="19"/>
            <c:spPr>
              <a:solidFill>
                <a:schemeClr val="accent6"/>
              </a:solidFill>
              <a:ln cmpd="sng">
                <a:solidFill>
                  <a:srgbClr val="000000"/>
                </a:solidFill>
              </a:ln>
            </c:spPr>
          </c:dPt>
          <c:dPt>
            <c:idx val="20"/>
            <c:spPr>
              <a:solidFill>
                <a:schemeClr val="accent6"/>
              </a:solidFill>
              <a:ln cmpd="sng">
                <a:solidFill>
                  <a:srgbClr val="000000"/>
                </a:solidFill>
              </a:ln>
            </c:spPr>
          </c:dPt>
          <c:dPt>
            <c:idx val="21"/>
            <c:spPr>
              <a:solidFill>
                <a:schemeClr val="accent6"/>
              </a:solidFill>
              <a:ln cmpd="sng">
                <a:solidFill>
                  <a:srgbClr val="000000"/>
                </a:solidFill>
              </a:ln>
            </c:spPr>
          </c:dPt>
          <c:dPt>
            <c:idx val="22"/>
            <c:spPr>
              <a:solidFill>
                <a:schemeClr val="accent6"/>
              </a:solidFill>
              <a:ln cmpd="sng">
                <a:solidFill>
                  <a:srgbClr val="000000"/>
                </a:solidFill>
              </a:ln>
            </c:spPr>
          </c:dPt>
          <c:dPt>
            <c:idx val="23"/>
            <c:spPr>
              <a:solidFill>
                <a:srgbClr val="FFFF00"/>
              </a:solidFill>
              <a:ln cmpd="sng">
                <a:solidFill>
                  <a:srgbClr val="000000"/>
                </a:solidFill>
              </a:ln>
            </c:spPr>
          </c:dPt>
          <c:dPt>
            <c:idx val="24"/>
            <c:spPr>
              <a:solidFill>
                <a:srgbClr val="FFFF00"/>
              </a:solidFill>
              <a:ln cmpd="sng">
                <a:solidFill>
                  <a:srgbClr val="000000"/>
                </a:solidFill>
              </a:ln>
            </c:spPr>
          </c:dPt>
          <c:cat>
            <c:strRef>
              <c:f>ABLLs!$BF$6:$CD$6</c:f>
            </c:strRef>
          </c:cat>
          <c:val>
            <c:numRef>
              <c:f>ABLLs!$BF$7:$CD$7</c:f>
              <c:numCache/>
            </c:numRef>
          </c:val>
        </c:ser>
        <c:axId val="2014718209"/>
        <c:axId val="2097339455"/>
      </c:barChart>
      <c:catAx>
        <c:axId val="20147182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i="0">
                <a:solidFill>
                  <a:srgbClr val="000000"/>
                </a:solidFill>
                <a:latin typeface="+mn-lt"/>
              </a:defRPr>
            </a:pPr>
          </a:p>
        </c:txPr>
        <c:crossAx val="2097339455"/>
      </c:catAx>
      <c:valAx>
        <c:axId val="2097339455"/>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2014718209"/>
        <c:majorUnit val="20.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Section Emphasis</a:t>
            </a:r>
          </a:p>
        </c:rich>
      </c:tx>
      <c:overlay val="0"/>
    </c:title>
    <c:plotArea>
      <c:layout>
        <c:manualLayout>
          <c:xMode val="edge"/>
          <c:yMode val="edge"/>
          <c:x val="0.243258084571133"/>
          <c:y val="0.0945888723301671"/>
          <c:w val="0.496826330916757"/>
          <c:h val="0.889451224475739"/>
        </c:manualLayout>
      </c:layout>
      <c:pieChart>
        <c:varyColors val="1"/>
        <c:ser>
          <c:idx val="0"/>
          <c:order val="0"/>
          <c:tx>
            <c:strRef>
              <c:f>ABLLs!$BW$47</c:f>
            </c:strRef>
          </c:tx>
          <c:dPt>
            <c:idx val="0"/>
            <c:spPr>
              <a:solidFill>
                <a:srgbClr val="92D050"/>
              </a:solidFill>
            </c:spPr>
          </c:dPt>
          <c:dPt>
            <c:idx val="1"/>
            <c:spPr>
              <a:solidFill>
                <a:srgbClr val="009900"/>
              </a:solidFill>
            </c:spPr>
          </c:dPt>
          <c:dPt>
            <c:idx val="2"/>
            <c:spPr>
              <a:solidFill>
                <a:schemeClr val="accent1"/>
              </a:solidFill>
            </c:spPr>
          </c:dPt>
          <c:dPt>
            <c:idx val="3"/>
            <c:spPr>
              <a:solidFill>
                <a:schemeClr val="accent6"/>
              </a:solidFill>
            </c:spPr>
          </c:dPt>
          <c:dPt>
            <c:idx val="4"/>
            <c:spPr>
              <a:solidFill>
                <a:srgbClr val="FFFF00"/>
              </a:solidFill>
            </c:spPr>
          </c:dPt>
          <c:dLbls>
            <c:showLegendKey val="0"/>
            <c:showVal val="0"/>
            <c:showCatName val="0"/>
            <c:showSerName val="0"/>
            <c:showPercent val="1"/>
            <c:showBubbleSize val="0"/>
            <c:showLeaderLines val="1"/>
          </c:dLbls>
          <c:cat>
            <c:strRef>
              <c:f>ABLLs!$BV$48:$BV$52</c:f>
            </c:strRef>
          </c:cat>
          <c:val>
            <c:numRef>
              <c:f>ABLLs!$BW$48:$BW$52</c:f>
              <c:numCache/>
            </c:numRef>
          </c:val>
        </c:ser>
        <c:dLbls>
          <c:showLegendKey val="0"/>
          <c:showVal val="0"/>
          <c:showCatName val="0"/>
          <c:showSerName val="0"/>
          <c:showPercent val="0"/>
          <c:showBubbleSize val="0"/>
        </c:dLbls>
        <c:firstSliceAng val="0"/>
      </c:pie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 % of individual criteria met within each specific category</a:t>
            </a:r>
          </a:p>
        </c:rich>
      </c:tx>
      <c:overlay val="0"/>
    </c:title>
    <c:plotArea>
      <c:layout/>
      <c:barChart>
        <c:barDir val="col"/>
        <c:ser>
          <c:idx val="0"/>
          <c:order val="0"/>
          <c:spPr>
            <a:solidFill>
              <a:schemeClr val="accent1"/>
            </a:solidFill>
            <a:ln cmpd="sng">
              <a:solidFill>
                <a:srgbClr val="000000"/>
              </a:solidFill>
            </a:ln>
          </c:spPr>
          <c:dPt>
            <c:idx val="0"/>
            <c:spPr>
              <a:solidFill>
                <a:srgbClr val="92D050"/>
              </a:solidFill>
              <a:ln cmpd="sng">
                <a:solidFill>
                  <a:srgbClr val="000000"/>
                </a:solidFill>
              </a:ln>
            </c:spPr>
          </c:dPt>
          <c:dPt>
            <c:idx val="1"/>
            <c:spPr>
              <a:solidFill>
                <a:srgbClr val="92D050"/>
              </a:solidFill>
              <a:ln cmpd="sng">
                <a:solidFill>
                  <a:srgbClr val="000000"/>
                </a:solidFill>
              </a:ln>
            </c:spPr>
          </c:dPt>
          <c:dPt>
            <c:idx val="2"/>
            <c:spPr>
              <a:solidFill>
                <a:srgbClr val="92D050"/>
              </a:solidFill>
              <a:ln cmpd="sng">
                <a:solidFill>
                  <a:srgbClr val="000000"/>
                </a:solidFill>
              </a:ln>
            </c:spPr>
          </c:dPt>
          <c:dPt>
            <c:idx val="3"/>
            <c:spPr>
              <a:solidFill>
                <a:srgbClr val="92D050"/>
              </a:solidFill>
              <a:ln cmpd="sng">
                <a:solidFill>
                  <a:srgbClr val="000000"/>
                </a:solidFill>
              </a:ln>
            </c:spPr>
          </c:dPt>
          <c:dPt>
            <c:idx val="4"/>
            <c:spPr>
              <a:solidFill>
                <a:srgbClr val="92D050"/>
              </a:solidFill>
              <a:ln cmpd="sng">
                <a:solidFill>
                  <a:srgbClr val="000000"/>
                </a:solidFill>
              </a:ln>
            </c:spPr>
          </c:dPt>
          <c:dPt>
            <c:idx val="5"/>
            <c:spPr>
              <a:solidFill>
                <a:srgbClr val="92D050"/>
              </a:solidFill>
              <a:ln cmpd="sng">
                <a:solidFill>
                  <a:srgbClr val="000000"/>
                </a:solidFill>
              </a:ln>
            </c:spPr>
          </c:dPt>
          <c:dPt>
            <c:idx val="6"/>
            <c:spPr>
              <a:solidFill>
                <a:srgbClr val="92D050"/>
              </a:solidFill>
              <a:ln cmpd="sng">
                <a:solidFill>
                  <a:srgbClr val="000000"/>
                </a:solidFill>
              </a:ln>
            </c:spPr>
          </c:dPt>
          <c:dPt>
            <c:idx val="7"/>
            <c:spPr>
              <a:solidFill>
                <a:srgbClr val="92D050"/>
              </a:solidFill>
              <a:ln cmpd="sng">
                <a:solidFill>
                  <a:srgbClr val="000000"/>
                </a:solidFill>
              </a:ln>
            </c:spPr>
          </c:dPt>
          <c:dPt>
            <c:idx val="8"/>
            <c:spPr>
              <a:solidFill>
                <a:srgbClr val="92D050"/>
              </a:solidFill>
              <a:ln cmpd="sng">
                <a:solidFill>
                  <a:srgbClr val="000000"/>
                </a:solidFill>
              </a:ln>
            </c:spPr>
          </c:dPt>
          <c:dPt>
            <c:idx val="9"/>
            <c:spPr>
              <a:solidFill>
                <a:srgbClr val="92D050"/>
              </a:solidFill>
              <a:ln cmpd="sng">
                <a:solidFill>
                  <a:srgbClr val="000000"/>
                </a:solidFill>
              </a:ln>
            </c:spPr>
          </c:dPt>
          <c:dPt>
            <c:idx val="10"/>
            <c:spPr>
              <a:solidFill>
                <a:srgbClr val="009900"/>
              </a:solidFill>
              <a:ln cmpd="sng">
                <a:solidFill>
                  <a:srgbClr val="000000"/>
                </a:solidFill>
              </a:ln>
            </c:spPr>
          </c:dPt>
          <c:dPt>
            <c:idx val="11"/>
            <c:spPr>
              <a:solidFill>
                <a:srgbClr val="009900"/>
              </a:solidFill>
              <a:ln cmpd="sng">
                <a:solidFill>
                  <a:srgbClr val="000000"/>
                </a:solidFill>
              </a:ln>
            </c:spPr>
          </c:dPt>
          <c:dPt>
            <c:idx val="12"/>
            <c:spPr>
              <a:solidFill>
                <a:srgbClr val="009900"/>
              </a:solidFill>
              <a:ln cmpd="sng">
                <a:solidFill>
                  <a:srgbClr val="000000"/>
                </a:solidFill>
              </a:ln>
            </c:spPr>
          </c:dPt>
          <c:dPt>
            <c:idx val="13"/>
            <c:spPr>
              <a:solidFill>
                <a:srgbClr val="009900"/>
              </a:solidFill>
              <a:ln cmpd="sng">
                <a:solidFill>
                  <a:srgbClr val="000000"/>
                </a:solidFill>
              </a:ln>
            </c:spPr>
          </c:dPt>
          <c:dPt>
            <c:idx val="14"/>
            <c:spPr>
              <a:solidFill>
                <a:srgbClr val="009900"/>
              </a:solidFill>
              <a:ln cmpd="sng">
                <a:solidFill>
                  <a:srgbClr val="000000"/>
                </a:solidFill>
              </a:ln>
            </c:spPr>
          </c:dPt>
          <c:dPt>
            <c:idx val="19"/>
            <c:spPr>
              <a:solidFill>
                <a:schemeClr val="accent6"/>
              </a:solidFill>
              <a:ln cmpd="sng">
                <a:solidFill>
                  <a:srgbClr val="000000"/>
                </a:solidFill>
              </a:ln>
            </c:spPr>
          </c:dPt>
          <c:dPt>
            <c:idx val="20"/>
            <c:spPr>
              <a:solidFill>
                <a:schemeClr val="accent6"/>
              </a:solidFill>
              <a:ln cmpd="sng">
                <a:solidFill>
                  <a:srgbClr val="000000"/>
                </a:solidFill>
              </a:ln>
            </c:spPr>
          </c:dPt>
          <c:dPt>
            <c:idx val="21"/>
            <c:spPr>
              <a:solidFill>
                <a:schemeClr val="accent6"/>
              </a:solidFill>
              <a:ln cmpd="sng">
                <a:solidFill>
                  <a:srgbClr val="000000"/>
                </a:solidFill>
              </a:ln>
            </c:spPr>
          </c:dPt>
          <c:dPt>
            <c:idx val="22"/>
            <c:spPr>
              <a:solidFill>
                <a:schemeClr val="accent6"/>
              </a:solidFill>
              <a:ln cmpd="sng">
                <a:solidFill>
                  <a:srgbClr val="000000"/>
                </a:solidFill>
              </a:ln>
            </c:spPr>
          </c:dPt>
          <c:dPt>
            <c:idx val="23"/>
            <c:spPr>
              <a:solidFill>
                <a:srgbClr val="FFFF00"/>
              </a:solidFill>
              <a:ln cmpd="sng">
                <a:solidFill>
                  <a:srgbClr val="000000"/>
                </a:solidFill>
              </a:ln>
            </c:spPr>
          </c:dPt>
          <c:dPt>
            <c:idx val="24"/>
            <c:spPr>
              <a:solidFill>
                <a:srgbClr val="FFFF00"/>
              </a:solidFill>
              <a:ln cmpd="sng">
                <a:solidFill>
                  <a:srgbClr val="000000"/>
                </a:solidFill>
              </a:ln>
            </c:spPr>
          </c:dPt>
          <c:cat>
            <c:strRef>
              <c:f>'Copy of ABLLs'!$BF$6:$CD$6</c:f>
            </c:strRef>
          </c:cat>
          <c:val>
            <c:numRef>
              <c:f>'Copy of ABLLs'!$BF$7:$CD$7</c:f>
              <c:numCache/>
            </c:numRef>
          </c:val>
        </c:ser>
        <c:axId val="984320056"/>
        <c:axId val="1484243650"/>
      </c:barChart>
      <c:catAx>
        <c:axId val="984320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i="0">
                <a:solidFill>
                  <a:srgbClr val="000000"/>
                </a:solidFill>
                <a:latin typeface="+mn-lt"/>
              </a:defRPr>
            </a:pPr>
          </a:p>
        </c:txPr>
        <c:crossAx val="1484243650"/>
      </c:catAx>
      <c:valAx>
        <c:axId val="1484243650"/>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984320056"/>
        <c:majorUnit val="20.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Section Emphasis</a:t>
            </a:r>
          </a:p>
        </c:rich>
      </c:tx>
      <c:overlay val="0"/>
    </c:title>
    <c:plotArea>
      <c:layout>
        <c:manualLayout>
          <c:xMode val="edge"/>
          <c:yMode val="edge"/>
          <c:x val="0.243258084571133"/>
          <c:y val="0.0945888723301671"/>
          <c:w val="0.496826330916757"/>
          <c:h val="0.889451224475739"/>
        </c:manualLayout>
      </c:layout>
      <c:pieChart>
        <c:varyColors val="1"/>
        <c:ser>
          <c:idx val="0"/>
          <c:order val="0"/>
          <c:tx>
            <c:strRef>
              <c:f>'Copy of ABLLs'!$BW$47</c:f>
            </c:strRef>
          </c:tx>
          <c:dPt>
            <c:idx val="0"/>
            <c:spPr>
              <a:solidFill>
                <a:srgbClr val="92D050"/>
              </a:solidFill>
            </c:spPr>
          </c:dPt>
          <c:dPt>
            <c:idx val="1"/>
            <c:spPr>
              <a:solidFill>
                <a:srgbClr val="009900"/>
              </a:solidFill>
            </c:spPr>
          </c:dPt>
          <c:dPt>
            <c:idx val="2"/>
            <c:spPr>
              <a:solidFill>
                <a:schemeClr val="accent1"/>
              </a:solidFill>
            </c:spPr>
          </c:dPt>
          <c:dPt>
            <c:idx val="3"/>
            <c:spPr>
              <a:solidFill>
                <a:schemeClr val="accent6"/>
              </a:solidFill>
            </c:spPr>
          </c:dPt>
          <c:dPt>
            <c:idx val="4"/>
            <c:spPr>
              <a:solidFill>
                <a:srgbClr val="FFFF00"/>
              </a:solidFill>
            </c:spPr>
          </c:dPt>
          <c:dLbls>
            <c:showLegendKey val="0"/>
            <c:showVal val="0"/>
            <c:showCatName val="0"/>
            <c:showSerName val="0"/>
            <c:showPercent val="1"/>
            <c:showBubbleSize val="0"/>
            <c:showLeaderLines val="1"/>
          </c:dLbls>
          <c:cat>
            <c:strRef>
              <c:f>'Copy of ABLLs'!$BV$48:$BV$52</c:f>
            </c:strRef>
          </c:cat>
          <c:val>
            <c:numRef>
              <c:f>'Copy of ABLLs'!$BW$48:$BW$52</c:f>
              <c:numCache/>
            </c:numRef>
          </c:val>
        </c:ser>
        <c:dLbls>
          <c:showLegendKey val="0"/>
          <c:showVal val="0"/>
          <c:showCatName val="0"/>
          <c:showSerName val="0"/>
          <c:showPercent val="0"/>
          <c:showBubbleSize val="0"/>
        </c:dLbls>
        <c:firstSliceAng val="0"/>
      </c:pieChart>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57</xdr:col>
      <xdr:colOff>9525</xdr:colOff>
      <xdr:row>8</xdr:row>
      <xdr:rowOff>104775</xdr:rowOff>
    </xdr:from>
    <xdr:ext cx="9363075" cy="2743200"/>
    <xdr:graphicFrame>
      <xdr:nvGraphicFramePr>
        <xdr:cNvPr id="71434129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69</xdr:col>
      <xdr:colOff>190500</xdr:colOff>
      <xdr:row>40</xdr:row>
      <xdr:rowOff>38100</xdr:rowOff>
    </xdr:from>
    <xdr:ext cx="4781550" cy="2505075"/>
    <xdr:graphicFrame>
      <xdr:nvGraphicFramePr>
        <xdr:cNvPr id="1986421730"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57</xdr:col>
      <xdr:colOff>9525</xdr:colOff>
      <xdr:row>8</xdr:row>
      <xdr:rowOff>104775</xdr:rowOff>
    </xdr:from>
    <xdr:ext cx="9363075" cy="2743200"/>
    <xdr:graphicFrame>
      <xdr:nvGraphicFramePr>
        <xdr:cNvPr id="1160145368"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69</xdr:col>
      <xdr:colOff>190500</xdr:colOff>
      <xdr:row>40</xdr:row>
      <xdr:rowOff>38100</xdr:rowOff>
    </xdr:from>
    <xdr:ext cx="4781550" cy="2505075"/>
    <xdr:graphicFrame>
      <xdr:nvGraphicFramePr>
        <xdr:cNvPr id="219080645"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hidden="1" min="1" max="1" width="1.13"/>
    <col customWidth="1" min="2" max="2" width="2.88"/>
    <col customWidth="1" min="3" max="3" width="2.38"/>
    <col customWidth="1" min="4" max="4" width="3.38"/>
    <col customWidth="1" min="5" max="7" width="1.5"/>
    <col customWidth="1" min="8" max="8" width="1.63"/>
    <col customWidth="1" min="9" max="9" width="4.5"/>
    <col customWidth="1" min="10" max="10" width="4.38"/>
    <col customWidth="1" min="11" max="14" width="1.63"/>
    <col customWidth="1" min="15" max="15" width="4.0"/>
    <col customWidth="1" min="16" max="16" width="3.38"/>
    <col customWidth="1" min="17" max="20" width="1.63"/>
    <col customWidth="1" min="21" max="21" width="4.0"/>
    <col customWidth="1" min="22" max="22" width="3.38"/>
    <col customWidth="1" min="23" max="26" width="1.63"/>
    <col customWidth="1" min="27" max="27" width="4.0"/>
    <col customWidth="1" min="28" max="28" width="2.5"/>
    <col customWidth="1" min="29" max="32" width="1.63"/>
    <col customWidth="1" min="33" max="33" width="4.0"/>
    <col customWidth="1" min="34" max="34" width="3.13"/>
    <col customWidth="1" min="35" max="38" width="1.63"/>
    <col customWidth="1" min="39" max="39" width="4.0"/>
    <col customWidth="1" min="40" max="40" width="3.38"/>
    <col customWidth="1" min="41" max="44" width="1.63"/>
    <col customWidth="1" min="45" max="45" width="4.0"/>
    <col customWidth="1" min="46" max="46" width="3.13"/>
    <col customWidth="1" min="47" max="50" width="1.63"/>
    <col customWidth="1" min="51" max="51" width="4.0"/>
    <col customWidth="1" min="52" max="52" width="2.0"/>
    <col customWidth="1" min="53" max="56" width="1.63"/>
    <col customWidth="1" min="57" max="57" width="2.0"/>
    <col customWidth="1" min="58" max="62" width="4.63"/>
    <col customWidth="1" min="63" max="63" width="5.13"/>
    <col customWidth="1" min="64" max="82" width="4.63"/>
    <col customWidth="1" min="83" max="89" width="8.88"/>
  </cols>
  <sheetData>
    <row r="1" ht="12.75" customHeight="1">
      <c r="D1" s="1"/>
      <c r="E1" s="2"/>
      <c r="F1" s="2"/>
      <c r="G1" s="2"/>
      <c r="H1" s="2"/>
      <c r="I1" s="2"/>
      <c r="J1" s="1"/>
      <c r="K1" s="2"/>
      <c r="L1" s="2"/>
      <c r="M1" s="2"/>
      <c r="P1" s="1"/>
      <c r="U1" s="3" t="s">
        <v>0</v>
      </c>
      <c r="AT1" s="1"/>
      <c r="AZ1" s="4"/>
      <c r="BR1" s="3" t="s">
        <v>0</v>
      </c>
      <c r="BS1" s="3"/>
      <c r="BT1" s="3"/>
      <c r="BU1" s="3"/>
      <c r="BV1" s="3"/>
      <c r="BW1" s="3"/>
      <c r="BX1" s="3"/>
      <c r="BY1" s="3"/>
      <c r="BZ1" s="3"/>
      <c r="CA1" s="3"/>
      <c r="CB1" s="3"/>
      <c r="CC1" s="3"/>
      <c r="CD1" s="3"/>
      <c r="CE1" s="3"/>
      <c r="CF1" s="3"/>
      <c r="CG1" s="3"/>
      <c r="CH1" s="3"/>
      <c r="CI1" s="3"/>
      <c r="CJ1" s="3"/>
      <c r="CK1" s="3"/>
    </row>
    <row r="2" ht="15.0" customHeight="1">
      <c r="C2" s="2"/>
      <c r="D2" s="5"/>
      <c r="E2" s="5"/>
      <c r="F2" s="5"/>
      <c r="G2" s="5"/>
      <c r="H2" s="5"/>
      <c r="I2" s="5"/>
      <c r="J2" s="5"/>
      <c r="K2" s="5"/>
      <c r="L2" s="5"/>
      <c r="M2" s="5"/>
      <c r="P2" s="1"/>
      <c r="Q2" s="6">
        <f>SUM(Q60:T60)/182</f>
        <v>0</v>
      </c>
      <c r="R2" s="7"/>
      <c r="S2" s="7"/>
      <c r="T2" s="7"/>
      <c r="U2" s="3" t="s">
        <v>1</v>
      </c>
      <c r="AT2" s="1"/>
      <c r="AZ2" s="4"/>
      <c r="BR2" s="3" t="s">
        <v>1</v>
      </c>
      <c r="BS2" s="3"/>
      <c r="BT2" s="3"/>
      <c r="BU2" s="3"/>
      <c r="BV2" s="3"/>
      <c r="BW2" s="3"/>
      <c r="BX2" s="3"/>
      <c r="BY2" s="3"/>
      <c r="BZ2" s="3"/>
      <c r="CA2" s="3"/>
      <c r="CB2" s="3"/>
      <c r="CC2" s="3"/>
      <c r="CD2" s="3"/>
      <c r="CE2" s="3"/>
      <c r="CF2" s="3"/>
      <c r="CG2" s="3"/>
      <c r="CH2" s="3"/>
      <c r="CI2" s="3"/>
      <c r="CJ2" s="3"/>
      <c r="CK2" s="3"/>
    </row>
    <row r="3" ht="9.0" customHeight="1">
      <c r="A3" s="8"/>
      <c r="B3" s="9"/>
      <c r="C3" s="9"/>
      <c r="D3" s="10"/>
      <c r="E3" s="10"/>
      <c r="F3" s="10"/>
      <c r="G3" s="9"/>
      <c r="H3" s="11"/>
      <c r="I3" s="11"/>
      <c r="J3" s="11"/>
      <c r="K3" s="11"/>
      <c r="L3" s="11"/>
      <c r="M3" s="11"/>
      <c r="N3" s="12"/>
      <c r="O3" s="13"/>
      <c r="P3" s="1" t="s">
        <v>2</v>
      </c>
      <c r="Q3" s="14"/>
      <c r="R3" s="14"/>
      <c r="S3" s="14"/>
      <c r="T3" s="14"/>
      <c r="U3" s="15"/>
      <c r="V3" s="3"/>
      <c r="W3" s="3"/>
      <c r="X3" s="3"/>
      <c r="Y3" s="3"/>
      <c r="Z3" s="3"/>
      <c r="AA3" s="3"/>
      <c r="AB3" s="3"/>
      <c r="AC3" s="3"/>
      <c r="AD3" s="3"/>
      <c r="AE3" s="3"/>
      <c r="AF3" s="3"/>
      <c r="AG3" s="3"/>
      <c r="AH3" s="3"/>
      <c r="AI3" s="3"/>
      <c r="AJ3" s="3"/>
      <c r="AK3" s="3"/>
      <c r="AL3" s="3"/>
      <c r="AM3" s="3"/>
      <c r="AN3" s="3"/>
      <c r="AT3" s="1"/>
      <c r="AZ3" s="4"/>
    </row>
    <row r="4" ht="9.0" customHeight="1">
      <c r="A4" s="16"/>
      <c r="B4" s="17" t="s">
        <v>3</v>
      </c>
      <c r="C4" s="17"/>
      <c r="D4" s="18"/>
      <c r="E4" s="18"/>
      <c r="F4" s="19"/>
      <c r="G4" s="20"/>
      <c r="H4" s="20"/>
      <c r="I4" s="20"/>
      <c r="J4" s="20"/>
      <c r="K4" s="20"/>
      <c r="L4" s="20"/>
      <c r="M4" s="21"/>
      <c r="N4" s="22"/>
      <c r="O4" s="23"/>
      <c r="P4" s="1" t="s">
        <v>4</v>
      </c>
      <c r="Q4" s="14"/>
      <c r="R4" s="14"/>
      <c r="S4" s="14"/>
      <c r="T4" s="14"/>
      <c r="U4" s="24"/>
      <c r="W4" s="4"/>
      <c r="X4" s="4"/>
      <c r="Y4" s="3"/>
      <c r="Z4" s="3"/>
      <c r="AA4" s="3"/>
      <c r="AB4" s="3"/>
      <c r="AC4" s="3"/>
      <c r="AD4" s="3"/>
      <c r="AE4" s="3"/>
      <c r="AF4" s="3"/>
      <c r="AG4" s="3"/>
      <c r="AH4" s="3"/>
      <c r="AI4" s="3"/>
      <c r="AJ4" s="3"/>
      <c r="AK4" s="3"/>
      <c r="AL4" s="3"/>
      <c r="AM4" s="3"/>
      <c r="AN4" s="3"/>
      <c r="AT4" s="1"/>
      <c r="AZ4" s="4"/>
    </row>
    <row r="5" ht="9.0" customHeight="1">
      <c r="A5" s="16"/>
      <c r="B5" s="17"/>
      <c r="C5" s="25"/>
      <c r="D5" s="25"/>
      <c r="E5" s="25"/>
      <c r="F5" s="25"/>
      <c r="G5" s="25"/>
      <c r="H5" s="25"/>
      <c r="I5" s="25"/>
      <c r="J5" s="17"/>
      <c r="K5" s="26"/>
      <c r="L5" s="26"/>
      <c r="M5" s="17"/>
      <c r="N5" s="27"/>
      <c r="O5" s="23"/>
      <c r="P5" s="1" t="s">
        <v>5</v>
      </c>
      <c r="Q5" s="28"/>
      <c r="R5" s="21"/>
      <c r="S5" s="28"/>
      <c r="T5" s="21"/>
      <c r="U5" s="29"/>
      <c r="V5" s="3"/>
      <c r="W5" s="30"/>
      <c r="X5" s="31"/>
      <c r="Y5" s="31"/>
      <c r="Z5" s="31"/>
      <c r="AA5" s="31"/>
      <c r="AB5" s="31"/>
      <c r="AC5" s="31"/>
      <c r="AD5" s="31"/>
      <c r="AE5" s="31"/>
      <c r="AF5" s="31"/>
      <c r="AG5" s="31"/>
      <c r="AH5" s="31"/>
      <c r="AI5" s="31"/>
      <c r="AJ5" s="31"/>
      <c r="AK5" s="31"/>
      <c r="AL5" s="31"/>
      <c r="AM5" s="32"/>
      <c r="AN5" s="3"/>
      <c r="AT5" s="1"/>
      <c r="AZ5" s="4"/>
      <c r="BF5" s="17" t="s">
        <v>6</v>
      </c>
    </row>
    <row r="6" ht="9.0" customHeight="1">
      <c r="A6" s="16"/>
      <c r="B6" s="2"/>
      <c r="C6" s="2"/>
      <c r="D6" s="1"/>
      <c r="E6" s="2"/>
      <c r="F6" s="2"/>
      <c r="G6" s="2"/>
      <c r="H6" s="2"/>
      <c r="I6" s="2"/>
      <c r="J6" s="1"/>
      <c r="K6" s="2"/>
      <c r="L6" s="2"/>
      <c r="M6" s="2"/>
      <c r="N6" s="33" t="s">
        <v>7</v>
      </c>
      <c r="O6" s="34"/>
      <c r="P6" s="1" t="s">
        <v>8</v>
      </c>
      <c r="Q6" s="35"/>
      <c r="R6" s="35"/>
      <c r="S6" s="35"/>
      <c r="T6" s="35"/>
      <c r="U6" s="15"/>
      <c r="V6" s="3"/>
      <c r="W6" s="22"/>
      <c r="X6" s="36" t="s">
        <v>9</v>
      </c>
      <c r="Y6" s="37"/>
      <c r="Z6" s="27"/>
      <c r="AA6" s="38" t="s">
        <v>10</v>
      </c>
      <c r="AB6" s="37"/>
      <c r="AC6" s="27"/>
      <c r="AD6" s="36" t="s">
        <v>11</v>
      </c>
      <c r="AE6" s="37"/>
      <c r="AF6" s="37"/>
      <c r="AG6" s="27"/>
      <c r="AH6" s="39" t="s">
        <v>12</v>
      </c>
      <c r="AI6" s="37"/>
      <c r="AJ6" s="37"/>
      <c r="AK6" s="27"/>
      <c r="AL6" s="27"/>
      <c r="AM6" s="40"/>
      <c r="AN6" s="3"/>
      <c r="AT6" s="1"/>
      <c r="AZ6" s="4"/>
      <c r="BF6" s="41" t="s">
        <v>13</v>
      </c>
      <c r="BG6" s="41" t="s">
        <v>14</v>
      </c>
      <c r="BH6" s="41" t="s">
        <v>15</v>
      </c>
      <c r="BI6" s="41" t="s">
        <v>16</v>
      </c>
      <c r="BJ6" s="41" t="s">
        <v>17</v>
      </c>
      <c r="BK6" s="41" t="s">
        <v>18</v>
      </c>
      <c r="BL6" s="41" t="s">
        <v>19</v>
      </c>
      <c r="BM6" s="41" t="s">
        <v>20</v>
      </c>
      <c r="BN6" s="41" t="s">
        <v>21</v>
      </c>
      <c r="BO6" s="41" t="s">
        <v>22</v>
      </c>
      <c r="BP6" s="41" t="s">
        <v>23</v>
      </c>
      <c r="BQ6" s="41" t="s">
        <v>24</v>
      </c>
      <c r="BR6" s="41" t="s">
        <v>25</v>
      </c>
      <c r="BS6" s="41" t="s">
        <v>26</v>
      </c>
      <c r="BT6" s="41" t="s">
        <v>27</v>
      </c>
      <c r="BU6" s="41" t="s">
        <v>28</v>
      </c>
      <c r="BV6" s="41" t="s">
        <v>29</v>
      </c>
      <c r="BW6" s="41" t="s">
        <v>30</v>
      </c>
      <c r="BX6" s="41" t="s">
        <v>31</v>
      </c>
      <c r="BY6" s="41" t="s">
        <v>32</v>
      </c>
      <c r="BZ6" s="41" t="s">
        <v>33</v>
      </c>
      <c r="CA6" s="41" t="s">
        <v>34</v>
      </c>
      <c r="CB6" s="41" t="s">
        <v>35</v>
      </c>
      <c r="CC6" s="41" t="s">
        <v>36</v>
      </c>
      <c r="CD6" s="41" t="s">
        <v>37</v>
      </c>
      <c r="CE6" s="2"/>
    </row>
    <row r="7" ht="9.0" customHeight="1">
      <c r="A7" s="16"/>
      <c r="B7" s="17" t="s">
        <v>38</v>
      </c>
      <c r="C7" s="17"/>
      <c r="D7" s="25"/>
      <c r="E7" s="25"/>
      <c r="F7" s="25"/>
      <c r="G7" s="25"/>
      <c r="H7" s="25"/>
      <c r="I7" s="25" t="s">
        <v>10</v>
      </c>
      <c r="J7" s="25"/>
      <c r="K7" s="17"/>
      <c r="L7" s="17" t="s">
        <v>9</v>
      </c>
      <c r="M7" s="17"/>
      <c r="N7" s="27"/>
      <c r="O7" s="42" t="s">
        <v>39</v>
      </c>
      <c r="P7" s="1" t="s">
        <v>40</v>
      </c>
      <c r="Q7" s="43"/>
      <c r="R7" s="21"/>
      <c r="S7" s="43"/>
      <c r="T7" s="21"/>
      <c r="U7" s="44"/>
      <c r="V7" s="1"/>
      <c r="W7" s="45"/>
      <c r="X7" s="46">
        <v>1.0</v>
      </c>
      <c r="Y7" s="47"/>
      <c r="Z7" s="40"/>
      <c r="AA7" s="48" t="str">
        <f>I8</f>
        <v/>
      </c>
      <c r="AB7" s="49"/>
      <c r="AC7" s="50"/>
      <c r="AD7" s="51">
        <f>sum(O8+O71+O130)</f>
        <v>0</v>
      </c>
      <c r="AE7" s="7"/>
      <c r="AF7" s="49"/>
      <c r="AG7" s="40"/>
      <c r="AH7" s="51">
        <f>(AD7/1484)*100</f>
        <v>0</v>
      </c>
      <c r="AI7" s="49"/>
      <c r="AJ7" s="52" t="s">
        <v>41</v>
      </c>
      <c r="AK7" s="27"/>
      <c r="AL7" s="27"/>
      <c r="AM7" s="40"/>
      <c r="AN7" s="1"/>
      <c r="AT7" s="1"/>
      <c r="AZ7" s="4"/>
      <c r="BF7" s="53">
        <f>E39*100</f>
        <v>0</v>
      </c>
      <c r="BG7" s="53">
        <f>K31*100</f>
        <v>0</v>
      </c>
      <c r="BH7" s="53">
        <f>Q2*100</f>
        <v>0</v>
      </c>
      <c r="BI7" s="53">
        <f>W31*100</f>
        <v>0</v>
      </c>
      <c r="BJ7" s="53">
        <f>AC38*100</f>
        <v>0</v>
      </c>
      <c r="BK7" s="53">
        <f>AI29*100</f>
        <v>0</v>
      </c>
      <c r="BL7" s="53">
        <f>AO11*100</f>
        <v>0</v>
      </c>
      <c r="BM7" s="53">
        <f>AU9*100</f>
        <v>0</v>
      </c>
      <c r="BN7" s="53">
        <f>BA49*100</f>
        <v>0</v>
      </c>
      <c r="BO7" s="53">
        <f>E98*100</f>
        <v>0</v>
      </c>
      <c r="BP7" s="53">
        <f>K103*100</f>
        <v>0</v>
      </c>
      <c r="BQ7" s="53">
        <f>Q84*100</f>
        <v>0</v>
      </c>
      <c r="BR7" s="53">
        <f>W106*100</f>
        <v>0</v>
      </c>
      <c r="BS7" s="53">
        <f>AC108*100</f>
        <v>0</v>
      </c>
      <c r="BT7" s="53">
        <f>AI112*100</f>
        <v>0</v>
      </c>
      <c r="BU7" s="53">
        <f>AO101*100</f>
        <v>0</v>
      </c>
      <c r="BV7" s="53">
        <f>AU89*100</f>
        <v>0</v>
      </c>
      <c r="BW7" s="53">
        <f>E169*100</f>
        <v>0</v>
      </c>
      <c r="BX7" s="53">
        <f>K172*100</f>
        <v>0</v>
      </c>
      <c r="BY7" s="53">
        <f>Q164*100</f>
        <v>0</v>
      </c>
      <c r="BZ7" s="53">
        <f>W169*100</f>
        <v>0</v>
      </c>
      <c r="CA7" s="53">
        <f>AC172*100</f>
        <v>0</v>
      </c>
      <c r="CB7" s="53">
        <f>AI169*100</f>
        <v>0</v>
      </c>
      <c r="CC7" s="53">
        <f>AO149*100</f>
        <v>0</v>
      </c>
      <c r="CD7" s="53">
        <f>AU151*100</f>
        <v>0</v>
      </c>
      <c r="CE7" s="4"/>
    </row>
    <row r="8" ht="9.0" customHeight="1">
      <c r="A8" s="16"/>
      <c r="B8" s="54"/>
      <c r="C8" s="20"/>
      <c r="D8" s="20"/>
      <c r="E8" s="20"/>
      <c r="F8" s="20"/>
      <c r="G8" s="21"/>
      <c r="H8" s="25"/>
      <c r="I8" s="55"/>
      <c r="J8" s="21"/>
      <c r="K8" s="56"/>
      <c r="L8" s="57">
        <v>1.0</v>
      </c>
      <c r="M8" s="58"/>
      <c r="N8" s="45"/>
      <c r="O8" s="59">
        <f>COUNTIF(E41:H559,1)+countif(K33:N59,1)+countif(Q3:T59,1)+countif(W33:Z59,1)+countif(AC40:AF59,1)+countif(AI31:AL59,1)+countif(AO13:AR59,1)+countif(AU11:AX59,1)+countif(BA51:BD59,1)</f>
        <v>0</v>
      </c>
      <c r="P8" s="1" t="s">
        <v>42</v>
      </c>
      <c r="Q8" s="35"/>
      <c r="R8" s="35"/>
      <c r="S8" s="35"/>
      <c r="T8" s="35"/>
      <c r="U8" s="17"/>
      <c r="V8" s="1"/>
      <c r="W8" s="22"/>
      <c r="X8" s="27"/>
      <c r="Y8" s="27"/>
      <c r="Z8" s="27"/>
      <c r="AA8" s="27"/>
      <c r="AB8" s="27"/>
      <c r="AC8" s="27"/>
      <c r="AD8" s="27"/>
      <c r="AE8" s="27"/>
      <c r="AF8" s="27"/>
      <c r="AG8" s="27"/>
      <c r="AH8" s="27"/>
      <c r="AI8" s="27"/>
      <c r="AJ8" s="27"/>
      <c r="AK8" s="27"/>
      <c r="AL8" s="27"/>
      <c r="AM8" s="40"/>
      <c r="AN8" s="1"/>
      <c r="AT8" s="1"/>
      <c r="AZ8" s="4"/>
    </row>
    <row r="9" ht="9.0" customHeight="1">
      <c r="A9" s="16"/>
      <c r="B9" s="17"/>
      <c r="C9" s="17"/>
      <c r="D9" s="25"/>
      <c r="E9" s="25"/>
      <c r="F9" s="25"/>
      <c r="G9" s="25"/>
      <c r="H9" s="25"/>
      <c r="I9" s="25"/>
      <c r="J9" s="25"/>
      <c r="K9" s="17"/>
      <c r="L9" s="17"/>
      <c r="M9" s="17"/>
      <c r="N9" s="27"/>
      <c r="O9" s="23"/>
      <c r="P9" s="1" t="s">
        <v>43</v>
      </c>
      <c r="Q9" s="35"/>
      <c r="R9" s="35"/>
      <c r="S9" s="35"/>
      <c r="T9" s="35"/>
      <c r="U9" s="17"/>
      <c r="V9" s="1"/>
      <c r="W9" s="22"/>
      <c r="X9" s="36" t="s">
        <v>9</v>
      </c>
      <c r="Y9" s="37"/>
      <c r="Z9" s="27"/>
      <c r="AA9" s="38" t="s">
        <v>10</v>
      </c>
      <c r="AB9" s="37"/>
      <c r="AC9" s="27"/>
      <c r="AD9" s="37"/>
      <c r="AE9" s="37"/>
      <c r="AF9" s="37"/>
      <c r="AG9" s="27"/>
      <c r="AH9" s="37"/>
      <c r="AI9" s="37"/>
      <c r="AJ9" s="37"/>
      <c r="AK9" s="27"/>
      <c r="AL9" s="27"/>
      <c r="AM9" s="40"/>
      <c r="AN9" s="1"/>
      <c r="AT9" s="1"/>
      <c r="AU9" s="6">
        <f>SUM(AU60:AX60)/184</f>
        <v>0</v>
      </c>
      <c r="AV9" s="7"/>
      <c r="AW9" s="7"/>
      <c r="AX9" s="7"/>
      <c r="AZ9" s="4"/>
    </row>
    <row r="10" ht="9.0" customHeight="1">
      <c r="A10" s="16"/>
      <c r="B10" s="17" t="s">
        <v>38</v>
      </c>
      <c r="C10" s="17"/>
      <c r="D10" s="25"/>
      <c r="E10" s="25"/>
      <c r="F10" s="25"/>
      <c r="G10" s="25"/>
      <c r="H10" s="25"/>
      <c r="I10" s="25" t="s">
        <v>10</v>
      </c>
      <c r="J10" s="25"/>
      <c r="K10" s="17"/>
      <c r="L10" s="17" t="s">
        <v>9</v>
      </c>
      <c r="M10" s="17"/>
      <c r="N10" s="27"/>
      <c r="O10" s="60"/>
      <c r="P10" s="1" t="s">
        <v>44</v>
      </c>
      <c r="Q10" s="28"/>
      <c r="R10" s="21"/>
      <c r="S10" s="28"/>
      <c r="T10" s="21"/>
      <c r="U10" s="17"/>
      <c r="V10" s="1"/>
      <c r="W10" s="45"/>
      <c r="X10" s="46">
        <v>2.0</v>
      </c>
      <c r="Y10" s="61"/>
      <c r="Z10" s="40"/>
      <c r="AA10" s="48" t="str">
        <f>I11</f>
        <v/>
      </c>
      <c r="AB10" s="49"/>
      <c r="AC10" s="40"/>
      <c r="AD10" s="51">
        <f>sum(O11+O74+O133)</f>
        <v>0</v>
      </c>
      <c r="AE10" s="7"/>
      <c r="AF10" s="49"/>
      <c r="AG10" s="40"/>
      <c r="AH10" s="51">
        <f>(AD10/1484)*100</f>
        <v>0</v>
      </c>
      <c r="AI10" s="49"/>
      <c r="AJ10" s="52" t="s">
        <v>41</v>
      </c>
      <c r="AK10" s="27"/>
      <c r="AL10" s="27"/>
      <c r="AM10" s="40"/>
      <c r="AN10" s="1"/>
      <c r="AT10" s="1"/>
      <c r="AZ10" s="4"/>
    </row>
    <row r="11" ht="9.0" customHeight="1">
      <c r="A11" s="16"/>
      <c r="B11" s="54"/>
      <c r="C11" s="20"/>
      <c r="D11" s="20"/>
      <c r="E11" s="20"/>
      <c r="F11" s="20"/>
      <c r="G11" s="21"/>
      <c r="H11" s="25"/>
      <c r="I11" s="55"/>
      <c r="J11" s="21"/>
      <c r="K11" s="56"/>
      <c r="L11" s="57">
        <v>2.0</v>
      </c>
      <c r="M11" s="62"/>
      <c r="N11" s="45"/>
      <c r="O11" s="59">
        <f>COUNTIF(E41:H59,2)+countif(K33:N59,2)+countif(Q3:T59,2)+countif(W33:Z59,2)+countif(AC40:AF59,2)+countif(AI31:AL59,2)+countif(AO13:AR59,2)+countif(AU11:AX59,2)+countif(BA51:BD59,2)+O8</f>
        <v>0</v>
      </c>
      <c r="P11" s="1" t="s">
        <v>45</v>
      </c>
      <c r="Q11" s="14"/>
      <c r="R11" s="14"/>
      <c r="S11" s="14"/>
      <c r="T11" s="14"/>
      <c r="U11" s="17"/>
      <c r="V11" s="1"/>
      <c r="W11" s="22"/>
      <c r="X11" s="63"/>
      <c r="Y11" s="27"/>
      <c r="Z11" s="27"/>
      <c r="AB11" s="27"/>
      <c r="AC11" s="27"/>
      <c r="AD11" s="27"/>
      <c r="AE11" s="27"/>
      <c r="AF11" s="27"/>
      <c r="AG11" s="27"/>
      <c r="AH11" s="27"/>
      <c r="AI11" s="27"/>
      <c r="AJ11" s="27"/>
      <c r="AK11" s="27"/>
      <c r="AL11" s="27"/>
      <c r="AM11" s="40"/>
      <c r="AN11" s="1"/>
      <c r="AO11" s="6">
        <f>SUM(AO60:AR60)/154</f>
        <v>0</v>
      </c>
      <c r="AP11" s="7"/>
      <c r="AQ11" s="7"/>
      <c r="AR11" s="7"/>
      <c r="AT11" s="1" t="s">
        <v>46</v>
      </c>
      <c r="AU11" s="28"/>
      <c r="AV11" s="21"/>
      <c r="AW11" s="28"/>
      <c r="AX11" s="21"/>
      <c r="AY11" s="17"/>
      <c r="AZ11" s="4"/>
    </row>
    <row r="12" ht="9.0" customHeight="1">
      <c r="A12" s="16"/>
      <c r="B12" s="17"/>
      <c r="C12" s="17"/>
      <c r="D12" s="25"/>
      <c r="G12" s="17"/>
      <c r="H12" s="64"/>
      <c r="J12" s="65"/>
      <c r="K12" s="56"/>
      <c r="L12" s="56"/>
      <c r="M12" s="17"/>
      <c r="N12" s="27"/>
      <c r="O12" s="23"/>
      <c r="P12" s="1" t="s">
        <v>47</v>
      </c>
      <c r="Q12" s="14"/>
      <c r="R12" s="14"/>
      <c r="S12" s="14"/>
      <c r="T12" s="14"/>
      <c r="U12" s="17"/>
      <c r="V12" s="1"/>
      <c r="W12" s="22"/>
      <c r="X12" s="36" t="s">
        <v>9</v>
      </c>
      <c r="Y12" s="37"/>
      <c r="Z12" s="27"/>
      <c r="AA12" s="38" t="s">
        <v>10</v>
      </c>
      <c r="AB12" s="37"/>
      <c r="AC12" s="27"/>
      <c r="AD12" s="37"/>
      <c r="AE12" s="37"/>
      <c r="AF12" s="37"/>
      <c r="AG12" s="27"/>
      <c r="AH12" s="37"/>
      <c r="AI12" s="37"/>
      <c r="AJ12" s="37"/>
      <c r="AK12" s="27"/>
      <c r="AL12" s="27"/>
      <c r="AM12" s="40"/>
      <c r="AN12" s="1"/>
      <c r="AT12" s="1" t="s">
        <v>48</v>
      </c>
      <c r="AU12" s="28"/>
      <c r="AV12" s="21"/>
      <c r="AW12" s="28"/>
      <c r="AX12" s="21"/>
      <c r="AY12" s="17"/>
      <c r="AZ12" s="4"/>
    </row>
    <row r="13" ht="9.0" customHeight="1">
      <c r="A13" s="16"/>
      <c r="B13" s="17" t="s">
        <v>38</v>
      </c>
      <c r="C13" s="17"/>
      <c r="D13" s="25"/>
      <c r="E13" s="25"/>
      <c r="F13" s="25"/>
      <c r="G13" s="25"/>
      <c r="H13" s="25"/>
      <c r="I13" s="25" t="s">
        <v>10</v>
      </c>
      <c r="J13" s="25"/>
      <c r="K13" s="17"/>
      <c r="L13" s="17" t="s">
        <v>9</v>
      </c>
      <c r="M13" s="17"/>
      <c r="N13" s="27"/>
      <c r="O13" s="60"/>
      <c r="P13" s="1" t="s">
        <v>49</v>
      </c>
      <c r="Q13" s="14"/>
      <c r="R13" s="14"/>
      <c r="S13" s="14"/>
      <c r="T13" s="14"/>
      <c r="U13" s="17"/>
      <c r="V13" s="1"/>
      <c r="W13" s="45"/>
      <c r="X13" s="46">
        <v>3.0</v>
      </c>
      <c r="Y13" s="66"/>
      <c r="Z13" s="40"/>
      <c r="AA13" s="67" t="str">
        <f>I14</f>
        <v/>
      </c>
      <c r="AB13" s="49"/>
      <c r="AC13" s="40"/>
      <c r="AD13" s="51">
        <f>sum(O14+O77+O136)</f>
        <v>0</v>
      </c>
      <c r="AE13" s="7"/>
      <c r="AF13" s="49"/>
      <c r="AG13" s="40"/>
      <c r="AH13" s="51">
        <f>(AD13/1484)*100</f>
        <v>0</v>
      </c>
      <c r="AI13" s="49"/>
      <c r="AJ13" s="52" t="s">
        <v>41</v>
      </c>
      <c r="AK13" s="27"/>
      <c r="AL13" s="27"/>
      <c r="AM13" s="40"/>
      <c r="AN13" s="1" t="s">
        <v>50</v>
      </c>
      <c r="AO13" s="28"/>
      <c r="AP13" s="21"/>
      <c r="AQ13" s="28"/>
      <c r="AR13" s="21"/>
      <c r="AS13" s="17"/>
      <c r="AT13" s="1" t="s">
        <v>51</v>
      </c>
      <c r="AU13" s="28"/>
      <c r="AV13" s="21"/>
      <c r="AW13" s="28"/>
      <c r="AX13" s="21"/>
      <c r="AY13" s="17"/>
      <c r="AZ13" s="4"/>
    </row>
    <row r="14" ht="9.0" customHeight="1">
      <c r="A14" s="16"/>
      <c r="B14" s="54"/>
      <c r="C14" s="20"/>
      <c r="D14" s="20"/>
      <c r="E14" s="20"/>
      <c r="F14" s="20"/>
      <c r="G14" s="21"/>
      <c r="H14" s="25"/>
      <c r="I14" s="55"/>
      <c r="J14" s="21"/>
      <c r="K14" s="56"/>
      <c r="L14" s="57">
        <v>3.0</v>
      </c>
      <c r="M14" s="68"/>
      <c r="N14" s="45"/>
      <c r="O14" s="59">
        <f>COUNTIF(E41:H59,3)+countif(K33:N59,3)+countif(Q3:T59,3)+countif(W33:Z59,3)+countif(AC40:AF59,3)+countif(AI31:AL59,3)+countif(AO12:AR59,3)+countif(AU11:AX59,3)+countif(BA51:BD59,3)+O11</f>
        <v>0</v>
      </c>
      <c r="P14" s="1" t="s">
        <v>52</v>
      </c>
      <c r="Q14" s="14"/>
      <c r="R14" s="14"/>
      <c r="S14" s="14"/>
      <c r="T14" s="14"/>
      <c r="U14" s="17"/>
      <c r="V14" s="1"/>
      <c r="W14" s="22"/>
      <c r="X14" s="27"/>
      <c r="Y14" s="27"/>
      <c r="Z14" s="27"/>
      <c r="AA14" s="27"/>
      <c r="AB14" s="27"/>
      <c r="AC14" s="27"/>
      <c r="AD14" s="27"/>
      <c r="AE14" s="27"/>
      <c r="AF14" s="27"/>
      <c r="AG14" s="27"/>
      <c r="AH14" s="27"/>
      <c r="AI14" s="27"/>
      <c r="AJ14" s="27"/>
      <c r="AK14" s="27"/>
      <c r="AL14" s="27"/>
      <c r="AM14" s="40"/>
      <c r="AN14" s="1" t="s">
        <v>53</v>
      </c>
      <c r="AO14" s="14"/>
      <c r="AP14" s="14"/>
      <c r="AQ14" s="14"/>
      <c r="AR14" s="14"/>
      <c r="AS14" s="17"/>
      <c r="AT14" s="1" t="s">
        <v>54</v>
      </c>
      <c r="AU14" s="14"/>
      <c r="AV14" s="14"/>
      <c r="AW14" s="14"/>
      <c r="AX14" s="14"/>
      <c r="AY14" s="17"/>
      <c r="AZ14" s="4"/>
    </row>
    <row r="15" ht="9.0" customHeight="1">
      <c r="A15" s="16"/>
      <c r="B15" s="17"/>
      <c r="C15" s="17"/>
      <c r="D15" s="69"/>
      <c r="N15" s="27"/>
      <c r="O15" s="23"/>
      <c r="P15" s="1" t="s">
        <v>55</v>
      </c>
      <c r="Q15" s="14"/>
      <c r="R15" s="14"/>
      <c r="S15" s="14"/>
      <c r="T15" s="14"/>
      <c r="U15" s="17"/>
      <c r="V15" s="1"/>
      <c r="W15" s="22"/>
      <c r="X15" s="36" t="s">
        <v>9</v>
      </c>
      <c r="Y15" s="37"/>
      <c r="Z15" s="27"/>
      <c r="AA15" s="38" t="s">
        <v>10</v>
      </c>
      <c r="AB15" s="37"/>
      <c r="AC15" s="27"/>
      <c r="AD15" s="37"/>
      <c r="AE15" s="37"/>
      <c r="AF15" s="37"/>
      <c r="AG15" s="27"/>
      <c r="AH15" s="37"/>
      <c r="AI15" s="37"/>
      <c r="AJ15" s="37"/>
      <c r="AK15" s="27"/>
      <c r="AL15" s="27"/>
      <c r="AM15" s="40"/>
      <c r="AN15" s="1" t="s">
        <v>56</v>
      </c>
      <c r="AO15" s="28"/>
      <c r="AP15" s="21"/>
      <c r="AQ15" s="28"/>
      <c r="AR15" s="21"/>
      <c r="AS15" s="17"/>
      <c r="AT15" s="1" t="s">
        <v>57</v>
      </c>
      <c r="AU15" s="14"/>
      <c r="AV15" s="14"/>
      <c r="AW15" s="14"/>
      <c r="AX15" s="14"/>
      <c r="AY15" s="17"/>
      <c r="AZ15" s="4"/>
    </row>
    <row r="16" ht="9.0" customHeight="1">
      <c r="A16" s="16"/>
      <c r="B16" s="17" t="s">
        <v>38</v>
      </c>
      <c r="C16" s="17"/>
      <c r="D16" s="25"/>
      <c r="E16" s="25"/>
      <c r="F16" s="25"/>
      <c r="G16" s="25"/>
      <c r="H16" s="25"/>
      <c r="I16" s="25" t="s">
        <v>10</v>
      </c>
      <c r="J16" s="25"/>
      <c r="K16" s="17"/>
      <c r="L16" s="17" t="s">
        <v>9</v>
      </c>
      <c r="M16" s="17"/>
      <c r="N16" s="27"/>
      <c r="O16" s="60"/>
      <c r="P16" s="1" t="s">
        <v>58</v>
      </c>
      <c r="Q16" s="28"/>
      <c r="R16" s="21"/>
      <c r="S16" s="28"/>
      <c r="T16" s="21"/>
      <c r="U16" s="17"/>
      <c r="V16" s="1"/>
      <c r="W16" s="45"/>
      <c r="X16" s="46">
        <v>4.0</v>
      </c>
      <c r="Y16" s="70"/>
      <c r="Z16" s="40"/>
      <c r="AA16" s="67" t="str">
        <f>I17</f>
        <v/>
      </c>
      <c r="AB16" s="49"/>
      <c r="AC16" s="40"/>
      <c r="AD16" s="51">
        <f>sum(O17+O80+O139)</f>
        <v>0</v>
      </c>
      <c r="AE16" s="7"/>
      <c r="AF16" s="49"/>
      <c r="AG16" s="40"/>
      <c r="AH16" s="51">
        <f>(AD16/1484)*100</f>
        <v>0</v>
      </c>
      <c r="AI16" s="49"/>
      <c r="AJ16" s="52" t="s">
        <v>41</v>
      </c>
      <c r="AK16" s="27"/>
      <c r="AL16" s="27"/>
      <c r="AM16" s="40"/>
      <c r="AN16" s="1" t="s">
        <v>59</v>
      </c>
      <c r="AO16" s="14"/>
      <c r="AP16" s="14"/>
      <c r="AQ16" s="14"/>
      <c r="AR16" s="14"/>
      <c r="AS16" s="17"/>
      <c r="AT16" s="1" t="s">
        <v>60</v>
      </c>
      <c r="AU16" s="14"/>
      <c r="AV16" s="14"/>
      <c r="AW16" s="14"/>
      <c r="AX16" s="14"/>
      <c r="AY16" s="17"/>
      <c r="AZ16" s="4"/>
    </row>
    <row r="17" ht="9.0" customHeight="1">
      <c r="A17" s="16"/>
      <c r="B17" s="54"/>
      <c r="C17" s="20"/>
      <c r="D17" s="20"/>
      <c r="E17" s="20"/>
      <c r="F17" s="20"/>
      <c r="G17" s="21"/>
      <c r="H17" s="25"/>
      <c r="I17" s="55"/>
      <c r="J17" s="21"/>
      <c r="K17" s="56"/>
      <c r="L17" s="57">
        <v>4.0</v>
      </c>
      <c r="M17" s="71"/>
      <c r="N17" s="45"/>
      <c r="O17" s="59">
        <f>COUNTIF(E41:H59,4)+countif(K33:N59,4)+countif(Q3:T59,4)+countif(W33:Z59,4)+countif(AC40:AF59,4)+countif(AI31:AL59,4)+countif(AO13:AR59,4)+countif(AU11:AX59,4)+countif(BA51:BD59,4)+O14</f>
        <v>0</v>
      </c>
      <c r="P17" s="1" t="s">
        <v>61</v>
      </c>
      <c r="Q17" s="28"/>
      <c r="R17" s="21"/>
      <c r="S17" s="28"/>
      <c r="T17" s="21"/>
      <c r="U17" s="17"/>
      <c r="V17" s="1"/>
      <c r="W17" s="22"/>
      <c r="X17" s="27"/>
      <c r="Y17" s="27"/>
      <c r="Z17" s="27"/>
      <c r="AA17" s="27"/>
      <c r="AB17" s="27"/>
      <c r="AC17" s="27"/>
      <c r="AD17" s="27"/>
      <c r="AE17" s="27"/>
      <c r="AF17" s="27"/>
      <c r="AG17" s="27"/>
      <c r="AH17" s="27"/>
      <c r="AI17" s="27"/>
      <c r="AJ17" s="27"/>
      <c r="AK17" s="27"/>
      <c r="AL17" s="27"/>
      <c r="AM17" s="40"/>
      <c r="AN17" s="1" t="s">
        <v>62</v>
      </c>
      <c r="AO17" s="14"/>
      <c r="AP17" s="14"/>
      <c r="AQ17" s="14"/>
      <c r="AR17" s="14"/>
      <c r="AS17" s="17"/>
      <c r="AT17" s="1" t="s">
        <v>63</v>
      </c>
      <c r="AU17" s="28"/>
      <c r="AV17" s="21"/>
      <c r="AW17" s="28"/>
      <c r="AX17" s="21"/>
      <c r="AY17" s="17"/>
      <c r="AZ17" s="4"/>
    </row>
    <row r="18" ht="9.0" customHeight="1">
      <c r="A18" s="16"/>
      <c r="B18" s="17"/>
      <c r="C18" s="17"/>
      <c r="D18" s="65"/>
      <c r="E18" s="17"/>
      <c r="F18" s="17"/>
      <c r="G18" s="17"/>
      <c r="H18" s="17"/>
      <c r="I18" s="17"/>
      <c r="J18" s="65"/>
      <c r="K18" s="17"/>
      <c r="L18" s="17"/>
      <c r="M18" s="17"/>
      <c r="N18" s="27"/>
      <c r="O18" s="23"/>
      <c r="P18" s="1" t="s">
        <v>64</v>
      </c>
      <c r="Q18" s="14"/>
      <c r="R18" s="14"/>
      <c r="S18" s="14"/>
      <c r="T18" s="14"/>
      <c r="U18" s="17"/>
      <c r="V18" s="1"/>
      <c r="W18" s="22"/>
      <c r="X18" s="36" t="s">
        <v>9</v>
      </c>
      <c r="Y18" s="37"/>
      <c r="Z18" s="27"/>
      <c r="AA18" s="38" t="s">
        <v>10</v>
      </c>
      <c r="AB18" s="37"/>
      <c r="AC18" s="27"/>
      <c r="AD18" s="37"/>
      <c r="AE18" s="37"/>
      <c r="AF18" s="37"/>
      <c r="AG18" s="27"/>
      <c r="AH18" s="37"/>
      <c r="AI18" s="37"/>
      <c r="AJ18" s="37"/>
      <c r="AK18" s="27"/>
      <c r="AL18" s="27"/>
      <c r="AM18" s="40"/>
      <c r="AN18" s="1" t="s">
        <v>65</v>
      </c>
      <c r="AO18" s="14"/>
      <c r="AP18" s="14"/>
      <c r="AQ18" s="14"/>
      <c r="AR18" s="14"/>
      <c r="AS18" s="17"/>
      <c r="AT18" s="1" t="s">
        <v>66</v>
      </c>
      <c r="AU18" s="14"/>
      <c r="AV18" s="14"/>
      <c r="AW18" s="14"/>
      <c r="AX18" s="14"/>
      <c r="AY18" s="17"/>
      <c r="AZ18" s="4"/>
    </row>
    <row r="19" ht="9.0" customHeight="1">
      <c r="A19" s="16"/>
      <c r="B19" s="17" t="s">
        <v>38</v>
      </c>
      <c r="C19" s="17"/>
      <c r="D19" s="25"/>
      <c r="E19" s="25"/>
      <c r="F19" s="25"/>
      <c r="G19" s="25"/>
      <c r="H19" s="25"/>
      <c r="I19" s="25" t="s">
        <v>10</v>
      </c>
      <c r="J19" s="25"/>
      <c r="K19" s="17"/>
      <c r="L19" s="17" t="s">
        <v>9</v>
      </c>
      <c r="M19" s="17"/>
      <c r="N19" s="27"/>
      <c r="O19" s="60"/>
      <c r="P19" s="1" t="s">
        <v>67</v>
      </c>
      <c r="Q19" s="28"/>
      <c r="R19" s="21"/>
      <c r="S19" s="28"/>
      <c r="T19" s="21"/>
      <c r="U19" s="17"/>
      <c r="V19" s="1"/>
      <c r="W19" s="45"/>
      <c r="X19" s="46">
        <v>5.0</v>
      </c>
      <c r="Y19" s="72"/>
      <c r="Z19" s="40"/>
      <c r="AA19" s="67" t="str">
        <f>I20</f>
        <v/>
      </c>
      <c r="AB19" s="49"/>
      <c r="AC19" s="40"/>
      <c r="AD19" s="51">
        <f>sum(O20+O83+O142)</f>
        <v>0</v>
      </c>
      <c r="AE19" s="7"/>
      <c r="AF19" s="49"/>
      <c r="AG19" s="40"/>
      <c r="AH19" s="51">
        <f>(AD19/1484)*100</f>
        <v>0</v>
      </c>
      <c r="AI19" s="49"/>
      <c r="AJ19" s="52" t="s">
        <v>41</v>
      </c>
      <c r="AK19" s="27"/>
      <c r="AL19" s="27"/>
      <c r="AM19" s="40"/>
      <c r="AN19" s="1" t="s">
        <v>68</v>
      </c>
      <c r="AO19" s="14"/>
      <c r="AP19" s="14"/>
      <c r="AQ19" s="14"/>
      <c r="AR19" s="14"/>
      <c r="AS19" s="17"/>
      <c r="AT19" s="1" t="s">
        <v>69</v>
      </c>
      <c r="AU19" s="14"/>
      <c r="AV19" s="14"/>
      <c r="AW19" s="14"/>
      <c r="AX19" s="14"/>
      <c r="AY19" s="17"/>
      <c r="AZ19" s="4"/>
    </row>
    <row r="20" ht="9.0" customHeight="1">
      <c r="A20" s="16"/>
      <c r="B20" s="54"/>
      <c r="C20" s="20"/>
      <c r="D20" s="20"/>
      <c r="E20" s="20"/>
      <c r="F20" s="20"/>
      <c r="G20" s="21"/>
      <c r="H20" s="25"/>
      <c r="I20" s="55"/>
      <c r="J20" s="21"/>
      <c r="K20" s="56"/>
      <c r="L20" s="57">
        <v>5.0</v>
      </c>
      <c r="M20" s="73"/>
      <c r="N20" s="45"/>
      <c r="O20" s="74">
        <f>COUNTIF(E41:H59,5)+countif(K33:N59,5)+countif(Q3:T59,5)+countif(W33:Z59,5)+countif(AC40:AF59,5)+countif(AI31:AL59,5)+countif(AO13:AR59,5)+countif(AU11:AX59,5)+countif(BA51:BD59,5)+O17</f>
        <v>0</v>
      </c>
      <c r="P20" s="1" t="s">
        <v>70</v>
      </c>
      <c r="Q20" s="28"/>
      <c r="R20" s="21"/>
      <c r="S20" s="28"/>
      <c r="T20" s="21"/>
      <c r="U20" s="17"/>
      <c r="V20" s="1"/>
      <c r="W20" s="22"/>
      <c r="X20" s="27"/>
      <c r="Y20" s="27"/>
      <c r="Z20" s="27"/>
      <c r="AA20" s="27"/>
      <c r="AB20" s="27"/>
      <c r="AC20" s="27"/>
      <c r="AD20" s="27"/>
      <c r="AE20" s="27"/>
      <c r="AF20" s="27"/>
      <c r="AG20" s="27"/>
      <c r="AH20" s="27"/>
      <c r="AI20" s="27"/>
      <c r="AJ20" s="27"/>
      <c r="AK20" s="27"/>
      <c r="AL20" s="27"/>
      <c r="AM20" s="40"/>
      <c r="AN20" s="1" t="s">
        <v>71</v>
      </c>
      <c r="AO20" s="28"/>
      <c r="AP20" s="21"/>
      <c r="AQ20" s="28"/>
      <c r="AR20" s="21"/>
      <c r="AS20" s="17"/>
      <c r="AT20" s="1" t="s">
        <v>72</v>
      </c>
      <c r="AU20" s="28"/>
      <c r="AV20" s="21"/>
      <c r="AW20" s="28"/>
      <c r="AX20" s="21"/>
      <c r="AY20" s="17"/>
      <c r="AZ20" s="4"/>
    </row>
    <row r="21" ht="9.0" customHeight="1">
      <c r="A21" s="16"/>
      <c r="B21" s="17"/>
      <c r="C21" s="17"/>
      <c r="D21" s="65"/>
      <c r="E21" s="17"/>
      <c r="F21" s="17"/>
      <c r="G21" s="17"/>
      <c r="H21" s="17"/>
      <c r="I21" s="17"/>
      <c r="J21" s="65"/>
      <c r="K21" s="17"/>
      <c r="L21" s="17"/>
      <c r="M21" s="17"/>
      <c r="N21" s="27"/>
      <c r="O21" s="23"/>
      <c r="P21" s="1" t="s">
        <v>73</v>
      </c>
      <c r="Q21" s="14"/>
      <c r="R21" s="14"/>
      <c r="S21" s="14"/>
      <c r="T21" s="14"/>
      <c r="U21" s="17"/>
      <c r="V21" s="1"/>
      <c r="W21" s="22"/>
      <c r="X21" s="36" t="s">
        <v>9</v>
      </c>
      <c r="Y21" s="37"/>
      <c r="Z21" s="27"/>
      <c r="AA21" s="38" t="s">
        <v>10</v>
      </c>
      <c r="AB21" s="37"/>
      <c r="AC21" s="27"/>
      <c r="AD21" s="37"/>
      <c r="AE21" s="37"/>
      <c r="AF21" s="37"/>
      <c r="AG21" s="27"/>
      <c r="AH21" s="37"/>
      <c r="AI21" s="37"/>
      <c r="AJ21" s="37"/>
      <c r="AK21" s="27"/>
      <c r="AL21" s="27"/>
      <c r="AM21" s="40"/>
      <c r="AN21" s="1" t="s">
        <v>74</v>
      </c>
      <c r="AO21" s="28"/>
      <c r="AP21" s="21"/>
      <c r="AQ21" s="28"/>
      <c r="AR21" s="21"/>
      <c r="AS21" s="17"/>
      <c r="AT21" s="1" t="s">
        <v>75</v>
      </c>
      <c r="AU21" s="14"/>
      <c r="AV21" s="14"/>
      <c r="AW21" s="14"/>
      <c r="AX21" s="14"/>
      <c r="AY21" s="17"/>
      <c r="AZ21" s="4"/>
    </row>
    <row r="22" ht="9.0" customHeight="1">
      <c r="A22" s="16"/>
      <c r="B22" s="17" t="s">
        <v>38</v>
      </c>
      <c r="C22" s="17"/>
      <c r="D22" s="25"/>
      <c r="E22" s="25"/>
      <c r="F22" s="25"/>
      <c r="G22" s="25"/>
      <c r="H22" s="25"/>
      <c r="I22" s="25" t="s">
        <v>10</v>
      </c>
      <c r="J22" s="25"/>
      <c r="K22" s="17"/>
      <c r="L22" s="17" t="s">
        <v>9</v>
      </c>
      <c r="M22" s="17"/>
      <c r="N22" s="27"/>
      <c r="O22" s="60"/>
      <c r="P22" s="1" t="s">
        <v>76</v>
      </c>
      <c r="Q22" s="14"/>
      <c r="R22" s="14"/>
      <c r="S22" s="14"/>
      <c r="T22" s="14"/>
      <c r="U22" s="17"/>
      <c r="V22" s="1"/>
      <c r="W22" s="45"/>
      <c r="X22" s="46">
        <v>6.0</v>
      </c>
      <c r="Y22" s="75"/>
      <c r="Z22" s="40"/>
      <c r="AA22" s="76" t="str">
        <f>I23</f>
        <v/>
      </c>
      <c r="AB22" s="49"/>
      <c r="AC22" s="40"/>
      <c r="AD22" s="51">
        <f>sum(O23+O86+O145)</f>
        <v>0</v>
      </c>
      <c r="AE22" s="7"/>
      <c r="AF22" s="49"/>
      <c r="AG22" s="40"/>
      <c r="AH22" s="51">
        <f>(AD22/1484)*100</f>
        <v>0</v>
      </c>
      <c r="AI22" s="49"/>
      <c r="AJ22" s="52" t="s">
        <v>41</v>
      </c>
      <c r="AK22" s="27"/>
      <c r="AL22" s="27"/>
      <c r="AM22" s="40"/>
      <c r="AN22" s="1" t="s">
        <v>77</v>
      </c>
      <c r="AO22" s="28"/>
      <c r="AP22" s="21"/>
      <c r="AQ22" s="28"/>
      <c r="AR22" s="21"/>
      <c r="AS22" s="17"/>
      <c r="AT22" s="1" t="s">
        <v>78</v>
      </c>
      <c r="AU22" s="14"/>
      <c r="AV22" s="14"/>
      <c r="AW22" s="14"/>
      <c r="AX22" s="14"/>
      <c r="AY22" s="17"/>
      <c r="AZ22" s="4"/>
    </row>
    <row r="23" ht="9.0" customHeight="1">
      <c r="A23" s="16"/>
      <c r="B23" s="54"/>
      <c r="C23" s="20"/>
      <c r="D23" s="20"/>
      <c r="E23" s="20"/>
      <c r="F23" s="20"/>
      <c r="G23" s="21"/>
      <c r="H23" s="25"/>
      <c r="I23" s="55"/>
      <c r="J23" s="21"/>
      <c r="K23" s="56"/>
      <c r="L23" s="57">
        <v>6.0</v>
      </c>
      <c r="M23" s="77"/>
      <c r="N23" s="45"/>
      <c r="O23" s="59">
        <f>COUNTIF(E41:H59,6)+countif(K33:N59,6)+countif(Q3:T59,6)+countif(W33:Z59,6)+countif(AC40:AF59,6)+countif(AI31:AL59,6)+countif(AO13:AR59,6)+countif(AU11:AX59,6)+countif(BA51:BD59,6)+O20</f>
        <v>0</v>
      </c>
      <c r="P23" s="1" t="s">
        <v>79</v>
      </c>
      <c r="Q23" s="14"/>
      <c r="R23" s="14"/>
      <c r="S23" s="14"/>
      <c r="T23" s="14"/>
      <c r="U23" s="17"/>
      <c r="V23" s="1"/>
      <c r="W23" s="78"/>
      <c r="X23" s="37"/>
      <c r="Y23" s="37"/>
      <c r="Z23" s="37"/>
      <c r="AA23" s="37"/>
      <c r="AB23" s="37"/>
      <c r="AC23" s="37"/>
      <c r="AD23" s="37"/>
      <c r="AE23" s="37"/>
      <c r="AF23" s="37"/>
      <c r="AG23" s="37"/>
      <c r="AH23" s="37"/>
      <c r="AI23" s="37"/>
      <c r="AJ23" s="37"/>
      <c r="AK23" s="37"/>
      <c r="AL23" s="37"/>
      <c r="AM23" s="79"/>
      <c r="AN23" s="1" t="s">
        <v>80</v>
      </c>
      <c r="AO23" s="14"/>
      <c r="AP23" s="14"/>
      <c r="AQ23" s="14"/>
      <c r="AR23" s="14"/>
      <c r="AS23" s="17"/>
      <c r="AT23" s="1" t="s">
        <v>81</v>
      </c>
      <c r="AU23" s="14"/>
      <c r="AV23" s="14"/>
      <c r="AW23" s="14"/>
      <c r="AX23" s="14"/>
      <c r="AY23" s="17"/>
      <c r="AZ23" s="4"/>
    </row>
    <row r="24" ht="9.0" customHeight="1">
      <c r="A24" s="16"/>
      <c r="B24" s="17"/>
      <c r="C24" s="17"/>
      <c r="D24" s="65"/>
      <c r="E24" s="17"/>
      <c r="F24" s="17"/>
      <c r="G24" s="17"/>
      <c r="H24" s="17"/>
      <c r="I24" s="17"/>
      <c r="J24" s="65"/>
      <c r="K24" s="17"/>
      <c r="L24" s="17"/>
      <c r="M24" s="17"/>
      <c r="N24" s="27"/>
      <c r="O24" s="23"/>
      <c r="P24" s="1" t="s">
        <v>82</v>
      </c>
      <c r="Q24" s="14"/>
      <c r="R24" s="14"/>
      <c r="S24" s="14"/>
      <c r="T24" s="14"/>
      <c r="U24" s="17"/>
      <c r="V24" s="1"/>
      <c r="AB24" s="1"/>
      <c r="AH24" s="1"/>
      <c r="AN24" s="1" t="s">
        <v>83</v>
      </c>
      <c r="AO24" s="28"/>
      <c r="AP24" s="21"/>
      <c r="AQ24" s="28"/>
      <c r="AR24" s="21"/>
      <c r="AS24" s="17"/>
      <c r="AT24" s="1" t="s">
        <v>84</v>
      </c>
      <c r="AU24" s="14"/>
      <c r="AV24" s="14"/>
      <c r="AW24" s="14"/>
      <c r="AX24" s="14"/>
      <c r="AY24" s="17"/>
      <c r="AZ24" s="4"/>
    </row>
    <row r="25" ht="9.0" customHeight="1">
      <c r="A25" s="16"/>
      <c r="B25" s="80" t="s">
        <v>85</v>
      </c>
      <c r="C25" s="80"/>
      <c r="D25" s="81"/>
      <c r="E25" s="80"/>
      <c r="F25" s="80"/>
      <c r="G25" s="80"/>
      <c r="H25" s="80"/>
      <c r="I25" s="80"/>
      <c r="J25" s="81"/>
      <c r="K25" s="80"/>
      <c r="L25" s="80"/>
      <c r="M25" s="80"/>
      <c r="N25" s="27"/>
      <c r="O25" s="23"/>
      <c r="P25" s="1" t="s">
        <v>86</v>
      </c>
      <c r="Q25" s="35"/>
      <c r="R25" s="35"/>
      <c r="S25" s="35"/>
      <c r="T25" s="35"/>
      <c r="U25" s="17"/>
      <c r="V25" s="1"/>
      <c r="AB25" s="1"/>
      <c r="AH25" s="1"/>
      <c r="AN25" s="1" t="s">
        <v>87</v>
      </c>
      <c r="AO25" s="14"/>
      <c r="AP25" s="14"/>
      <c r="AQ25" s="14"/>
      <c r="AR25" s="14"/>
      <c r="AS25" s="17"/>
      <c r="AT25" s="1" t="s">
        <v>88</v>
      </c>
      <c r="AU25" s="14"/>
      <c r="AV25" s="14"/>
      <c r="AW25" s="14"/>
      <c r="AX25" s="14"/>
      <c r="AY25" s="17"/>
      <c r="AZ25" s="4"/>
    </row>
    <row r="26" ht="9.0" customHeight="1">
      <c r="A26" s="16"/>
      <c r="B26" s="80" t="s">
        <v>89</v>
      </c>
      <c r="C26" s="80"/>
      <c r="D26" s="81"/>
      <c r="E26" s="80"/>
      <c r="F26" s="80"/>
      <c r="G26" s="80"/>
      <c r="H26" s="80"/>
      <c r="I26" s="80"/>
      <c r="J26" s="81"/>
      <c r="K26" s="80"/>
      <c r="L26" s="80"/>
      <c r="M26" s="80"/>
      <c r="N26" s="27"/>
      <c r="O26" s="23"/>
      <c r="P26" s="1" t="s">
        <v>90</v>
      </c>
      <c r="Q26" s="43"/>
      <c r="R26" s="21"/>
      <c r="S26" s="43"/>
      <c r="T26" s="21"/>
      <c r="U26" s="17"/>
      <c r="V26" s="1"/>
      <c r="AB26" s="1"/>
      <c r="AH26" s="1"/>
      <c r="AN26" s="1" t="s">
        <v>91</v>
      </c>
      <c r="AO26" s="28"/>
      <c r="AP26" s="21"/>
      <c r="AQ26" s="28"/>
      <c r="AR26" s="21"/>
      <c r="AS26" s="17"/>
      <c r="AT26" s="1" t="s">
        <v>92</v>
      </c>
      <c r="AU26" s="14"/>
      <c r="AV26" s="14"/>
      <c r="AW26" s="14"/>
      <c r="AX26" s="14"/>
      <c r="AY26" s="17"/>
      <c r="AZ26" s="4"/>
    </row>
    <row r="27" ht="9.0" customHeight="1">
      <c r="A27" s="16"/>
      <c r="B27" s="80" t="s">
        <v>93</v>
      </c>
      <c r="C27" s="80"/>
      <c r="D27" s="81"/>
      <c r="E27" s="80"/>
      <c r="F27" s="80"/>
      <c r="G27" s="80"/>
      <c r="H27" s="80"/>
      <c r="I27" s="80"/>
      <c r="J27" s="81"/>
      <c r="K27" s="80"/>
      <c r="L27" s="80"/>
      <c r="M27" s="80"/>
      <c r="N27" s="27"/>
      <c r="O27" s="23"/>
      <c r="P27" s="1" t="s">
        <v>94</v>
      </c>
      <c r="Q27" s="35"/>
      <c r="R27" s="35"/>
      <c r="S27" s="35"/>
      <c r="T27" s="35"/>
      <c r="U27" s="17"/>
      <c r="V27" s="1"/>
      <c r="AB27" s="1"/>
      <c r="AH27" s="1"/>
      <c r="AN27" s="1" t="s">
        <v>95</v>
      </c>
      <c r="AO27" s="14"/>
      <c r="AP27" s="14"/>
      <c r="AQ27" s="14"/>
      <c r="AR27" s="14"/>
      <c r="AS27" s="17"/>
      <c r="AT27" s="1" t="s">
        <v>96</v>
      </c>
      <c r="AU27" s="14"/>
      <c r="AV27" s="14"/>
      <c r="AW27" s="14"/>
      <c r="AX27" s="14"/>
      <c r="AY27" s="17"/>
      <c r="AZ27" s="4"/>
    </row>
    <row r="28" ht="9.0" customHeight="1">
      <c r="A28" s="82"/>
      <c r="B28" s="83"/>
      <c r="C28" s="83"/>
      <c r="D28" s="84"/>
      <c r="E28" s="83"/>
      <c r="F28" s="83"/>
      <c r="G28" s="83"/>
      <c r="H28" s="83"/>
      <c r="I28" s="83"/>
      <c r="J28" s="84"/>
      <c r="K28" s="83"/>
      <c r="L28" s="83"/>
      <c r="M28" s="83"/>
      <c r="N28" s="85"/>
      <c r="O28" s="86"/>
      <c r="P28" s="1" t="s">
        <v>97</v>
      </c>
      <c r="Q28" s="43"/>
      <c r="R28" s="21"/>
      <c r="S28" s="43"/>
      <c r="T28" s="21"/>
      <c r="U28" s="17"/>
      <c r="V28" s="1"/>
      <c r="AB28" s="1"/>
      <c r="AH28" s="1"/>
      <c r="AN28" s="1" t="s">
        <v>98</v>
      </c>
      <c r="AO28" s="28"/>
      <c r="AP28" s="21"/>
      <c r="AQ28" s="28"/>
      <c r="AR28" s="21"/>
      <c r="AS28" s="17"/>
      <c r="AT28" s="1" t="s">
        <v>99</v>
      </c>
      <c r="AU28" s="14"/>
      <c r="AV28" s="14"/>
      <c r="AW28" s="14"/>
      <c r="AX28" s="14"/>
      <c r="AY28" s="17"/>
      <c r="AZ28" s="4"/>
    </row>
    <row r="29" ht="9.0" customHeight="1">
      <c r="D29" s="1"/>
      <c r="J29" s="1"/>
      <c r="K29" s="2"/>
      <c r="L29" s="2"/>
      <c r="M29" s="2"/>
      <c r="N29" s="2"/>
      <c r="P29" s="1" t="s">
        <v>100</v>
      </c>
      <c r="Q29" s="35"/>
      <c r="R29" s="35"/>
      <c r="S29" s="35"/>
      <c r="T29" s="35"/>
      <c r="U29" s="17"/>
      <c r="V29" s="1"/>
      <c r="AB29" s="1"/>
      <c r="AH29" s="1"/>
      <c r="AI29" s="6">
        <f>SUM(AI60:AL60)/74</f>
        <v>0</v>
      </c>
      <c r="AJ29" s="7"/>
      <c r="AK29" s="7"/>
      <c r="AL29" s="7"/>
      <c r="AN29" s="1" t="s">
        <v>101</v>
      </c>
      <c r="AO29" s="14"/>
      <c r="AP29" s="14"/>
      <c r="AQ29" s="14"/>
      <c r="AR29" s="14"/>
      <c r="AS29" s="17"/>
      <c r="AT29" s="1" t="s">
        <v>102</v>
      </c>
      <c r="AU29" s="14"/>
      <c r="AV29" s="14"/>
      <c r="AW29" s="14"/>
      <c r="AX29" s="14"/>
      <c r="AY29" s="17"/>
      <c r="AZ29" s="4"/>
    </row>
    <row r="30" ht="9.0" customHeight="1">
      <c r="D30" s="1"/>
      <c r="J30" s="1"/>
      <c r="P30" s="1" t="s">
        <v>103</v>
      </c>
      <c r="Q30" s="35"/>
      <c r="R30" s="35"/>
      <c r="S30" s="35"/>
      <c r="T30" s="35"/>
      <c r="U30" s="17"/>
      <c r="V30" s="1"/>
      <c r="AB30" s="1"/>
      <c r="AH30" s="1"/>
      <c r="AN30" s="1" t="s">
        <v>104</v>
      </c>
      <c r="AO30" s="28"/>
      <c r="AP30" s="21"/>
      <c r="AQ30" s="28"/>
      <c r="AR30" s="21"/>
      <c r="AS30" s="17"/>
      <c r="AT30" s="1" t="s">
        <v>105</v>
      </c>
      <c r="AU30" s="28"/>
      <c r="AV30" s="21"/>
      <c r="AW30" s="28"/>
      <c r="AX30" s="21"/>
      <c r="AY30" s="17"/>
      <c r="AZ30" s="4"/>
    </row>
    <row r="31" ht="9.0" customHeight="1">
      <c r="D31" s="1"/>
      <c r="J31" s="1"/>
      <c r="K31" s="6">
        <f>SUM(K60:N60)/96</f>
        <v>0</v>
      </c>
      <c r="L31" s="7"/>
      <c r="M31" s="7"/>
      <c r="N31" s="7"/>
      <c r="P31" s="1" t="s">
        <v>106</v>
      </c>
      <c r="Q31" s="35"/>
      <c r="R31" s="35"/>
      <c r="S31" s="35"/>
      <c r="T31" s="35"/>
      <c r="U31" s="17"/>
      <c r="V31" s="1"/>
      <c r="W31" s="6">
        <f>SUM(W60:Z60)/80</f>
        <v>0</v>
      </c>
      <c r="X31" s="7"/>
      <c r="Y31" s="7"/>
      <c r="Z31" s="7"/>
      <c r="AB31" s="1"/>
      <c r="AH31" s="1" t="s">
        <v>107</v>
      </c>
      <c r="AI31" s="28"/>
      <c r="AJ31" s="21"/>
      <c r="AK31" s="28"/>
      <c r="AL31" s="21"/>
      <c r="AM31" s="17"/>
      <c r="AN31" s="1" t="s">
        <v>108</v>
      </c>
      <c r="AO31" s="14"/>
      <c r="AP31" s="14"/>
      <c r="AQ31" s="14"/>
      <c r="AR31" s="14"/>
      <c r="AS31" s="17"/>
      <c r="AT31" s="1" t="s">
        <v>109</v>
      </c>
      <c r="AU31" s="14"/>
      <c r="AV31" s="14"/>
      <c r="AW31" s="14"/>
      <c r="AX31" s="14"/>
      <c r="AY31" s="17"/>
      <c r="AZ31" s="4"/>
    </row>
    <row r="32" ht="9.0" customHeight="1">
      <c r="D32" s="1"/>
      <c r="J32" s="1"/>
      <c r="P32" s="1" t="s">
        <v>110</v>
      </c>
      <c r="Q32" s="35"/>
      <c r="R32" s="35"/>
      <c r="S32" s="35"/>
      <c r="T32" s="35"/>
      <c r="U32" s="17"/>
      <c r="V32" s="1"/>
      <c r="AB32" s="1"/>
      <c r="AH32" s="1" t="s">
        <v>111</v>
      </c>
      <c r="AI32" s="43"/>
      <c r="AJ32" s="21"/>
      <c r="AK32" s="43"/>
      <c r="AL32" s="21"/>
      <c r="AM32" s="17"/>
      <c r="AN32" s="1" t="s">
        <v>112</v>
      </c>
      <c r="AO32" s="28"/>
      <c r="AP32" s="21"/>
      <c r="AQ32" s="28"/>
      <c r="AR32" s="21"/>
      <c r="AS32" s="17"/>
      <c r="AT32" s="1" t="s">
        <v>113</v>
      </c>
      <c r="AU32" s="14"/>
      <c r="AV32" s="14"/>
      <c r="AW32" s="14"/>
      <c r="AX32" s="14"/>
      <c r="AY32" s="17"/>
      <c r="AZ32" s="4"/>
    </row>
    <row r="33" ht="9.0" customHeight="1">
      <c r="D33" s="1"/>
      <c r="J33" s="1" t="s">
        <v>114</v>
      </c>
      <c r="K33" s="28"/>
      <c r="L33" s="21"/>
      <c r="M33" s="28"/>
      <c r="N33" s="21"/>
      <c r="P33" s="1" t="s">
        <v>115</v>
      </c>
      <c r="Q33" s="43"/>
      <c r="R33" s="21"/>
      <c r="S33" s="43"/>
      <c r="T33" s="21"/>
      <c r="U33" s="17"/>
      <c r="V33" s="1" t="s">
        <v>116</v>
      </c>
      <c r="W33" s="14"/>
      <c r="X33" s="14"/>
      <c r="Y33" s="14"/>
      <c r="Z33" s="14"/>
      <c r="AA33" s="17"/>
      <c r="AB33" s="1"/>
      <c r="AH33" s="1" t="s">
        <v>117</v>
      </c>
      <c r="AI33" s="87"/>
      <c r="AJ33" s="49"/>
      <c r="AK33" s="87"/>
      <c r="AL33" s="49"/>
      <c r="AM33" s="17"/>
      <c r="AN33" s="1" t="s">
        <v>118</v>
      </c>
      <c r="AO33" s="14"/>
      <c r="AP33" s="14"/>
      <c r="AQ33" s="14"/>
      <c r="AR33" s="14"/>
      <c r="AS33" s="17"/>
      <c r="AT33" s="1" t="s">
        <v>119</v>
      </c>
      <c r="AU33" s="14"/>
      <c r="AV33" s="14"/>
      <c r="AW33" s="14"/>
      <c r="AX33" s="14"/>
      <c r="AY33" s="17"/>
      <c r="AZ33" s="4"/>
    </row>
    <row r="34" ht="9.0" customHeight="1">
      <c r="D34" s="1"/>
      <c r="J34" s="1" t="s">
        <v>120</v>
      </c>
      <c r="K34" s="88"/>
      <c r="L34" s="88"/>
      <c r="M34" s="88"/>
      <c r="N34" s="88"/>
      <c r="P34" s="1" t="s">
        <v>121</v>
      </c>
      <c r="Q34" s="35"/>
      <c r="R34" s="35"/>
      <c r="S34" s="35"/>
      <c r="T34" s="35"/>
      <c r="U34" s="17"/>
      <c r="V34" s="1" t="s">
        <v>122</v>
      </c>
      <c r="W34" s="35"/>
      <c r="X34" s="35"/>
      <c r="Y34" s="35"/>
      <c r="Z34" s="35"/>
      <c r="AA34" s="44"/>
      <c r="AB34" s="1"/>
      <c r="AH34" s="1" t="s">
        <v>123</v>
      </c>
      <c r="AI34" s="28"/>
      <c r="AJ34" s="21"/>
      <c r="AK34" s="28"/>
      <c r="AL34" s="21"/>
      <c r="AM34" s="17"/>
      <c r="AN34" s="1" t="s">
        <v>124</v>
      </c>
      <c r="AO34" s="28"/>
      <c r="AP34" s="21"/>
      <c r="AQ34" s="28"/>
      <c r="AR34" s="21"/>
      <c r="AS34" s="17"/>
      <c r="AT34" s="1" t="s">
        <v>125</v>
      </c>
      <c r="AU34" s="14"/>
      <c r="AV34" s="14"/>
      <c r="AW34" s="14"/>
      <c r="AX34" s="14"/>
      <c r="AY34" s="17"/>
      <c r="AZ34" s="4"/>
    </row>
    <row r="35" ht="9.0" customHeight="1">
      <c r="D35" s="1"/>
      <c r="J35" s="1" t="s">
        <v>126</v>
      </c>
      <c r="K35" s="35"/>
      <c r="L35" s="35"/>
      <c r="M35" s="35"/>
      <c r="N35" s="35"/>
      <c r="P35" s="1" t="s">
        <v>127</v>
      </c>
      <c r="Q35" s="43"/>
      <c r="R35" s="21"/>
      <c r="S35" s="43"/>
      <c r="T35" s="21"/>
      <c r="U35" s="17"/>
      <c r="V35" s="1" t="s">
        <v>128</v>
      </c>
      <c r="W35" s="35"/>
      <c r="X35" s="35"/>
      <c r="Y35" s="35"/>
      <c r="Z35" s="35"/>
      <c r="AA35" s="17"/>
      <c r="AB35" s="1"/>
      <c r="AH35" s="1" t="s">
        <v>129</v>
      </c>
      <c r="AI35" s="28"/>
      <c r="AJ35" s="21"/>
      <c r="AK35" s="28"/>
      <c r="AL35" s="21"/>
      <c r="AM35" s="17"/>
      <c r="AN35" s="1" t="s">
        <v>130</v>
      </c>
      <c r="AO35" s="14"/>
      <c r="AP35" s="14"/>
      <c r="AQ35" s="14"/>
      <c r="AR35" s="14"/>
      <c r="AS35" s="17"/>
      <c r="AT35" s="1" t="s">
        <v>131</v>
      </c>
      <c r="AU35" s="14"/>
      <c r="AV35" s="14"/>
      <c r="AW35" s="14"/>
      <c r="AX35" s="14"/>
      <c r="AY35" s="17"/>
      <c r="AZ35" s="4"/>
      <c r="BG35" s="89"/>
      <c r="BH35" s="17" t="s">
        <v>132</v>
      </c>
      <c r="BI35" s="17"/>
      <c r="BJ35" s="17"/>
      <c r="BK35" s="17"/>
      <c r="BL35" s="17"/>
      <c r="BM35" s="17"/>
      <c r="BN35" s="90"/>
      <c r="BO35" s="17" t="s">
        <v>133</v>
      </c>
      <c r="BQ35" s="17"/>
      <c r="BR35" s="17"/>
      <c r="BS35" s="17"/>
      <c r="BT35" s="91"/>
      <c r="BU35" s="17" t="s">
        <v>134</v>
      </c>
      <c r="BX35" s="17"/>
      <c r="BY35" s="17"/>
      <c r="BZ35" s="92"/>
      <c r="CA35" s="17" t="s">
        <v>135</v>
      </c>
      <c r="CB35" s="17"/>
      <c r="CE35" s="17"/>
      <c r="CF35" s="17"/>
    </row>
    <row r="36" ht="9.0" customHeight="1">
      <c r="D36" s="1"/>
      <c r="J36" s="1" t="s">
        <v>136</v>
      </c>
      <c r="K36" s="43"/>
      <c r="L36" s="21"/>
      <c r="M36" s="43"/>
      <c r="N36" s="21"/>
      <c r="P36" s="1" t="s">
        <v>137</v>
      </c>
      <c r="Q36" s="35"/>
      <c r="R36" s="35"/>
      <c r="S36" s="35"/>
      <c r="T36" s="35"/>
      <c r="U36" s="17"/>
      <c r="V36" s="1" t="s">
        <v>138</v>
      </c>
      <c r="W36" s="43"/>
      <c r="X36" s="21"/>
      <c r="Y36" s="43"/>
      <c r="Z36" s="21"/>
      <c r="AA36" s="17"/>
      <c r="AB36" s="1"/>
      <c r="AH36" s="1" t="s">
        <v>139</v>
      </c>
      <c r="AI36" s="28"/>
      <c r="AJ36" s="21"/>
      <c r="AK36" s="28"/>
      <c r="AL36" s="21"/>
      <c r="AM36" s="17"/>
      <c r="AN36" s="1" t="s">
        <v>140</v>
      </c>
      <c r="AO36" s="14"/>
      <c r="AP36" s="14"/>
      <c r="AQ36" s="14"/>
      <c r="AR36" s="14"/>
      <c r="AS36" s="17"/>
      <c r="AT36" s="1" t="s">
        <v>141</v>
      </c>
      <c r="AU36" s="14"/>
      <c r="AV36" s="14"/>
      <c r="AW36" s="14"/>
      <c r="AX36" s="14"/>
      <c r="AY36" s="17"/>
      <c r="AZ36" s="4"/>
    </row>
    <row r="37" ht="9.0" customHeight="1">
      <c r="D37" s="1"/>
      <c r="J37" s="1" t="s">
        <v>142</v>
      </c>
      <c r="K37" s="43"/>
      <c r="L37" s="21"/>
      <c r="M37" s="43"/>
      <c r="N37" s="21"/>
      <c r="P37" s="1" t="s">
        <v>143</v>
      </c>
      <c r="Q37" s="35"/>
      <c r="R37" s="35"/>
      <c r="S37" s="35"/>
      <c r="T37" s="35"/>
      <c r="U37" s="17"/>
      <c r="V37" s="1" t="s">
        <v>144</v>
      </c>
      <c r="W37" s="43"/>
      <c r="X37" s="21"/>
      <c r="Y37" s="43"/>
      <c r="Z37" s="21"/>
      <c r="AA37" s="17"/>
      <c r="AB37" s="1"/>
      <c r="AH37" s="1" t="s">
        <v>145</v>
      </c>
      <c r="AI37" s="28"/>
      <c r="AJ37" s="21"/>
      <c r="AK37" s="28"/>
      <c r="AL37" s="21"/>
      <c r="AM37" s="17"/>
      <c r="AN37" s="1" t="s">
        <v>146</v>
      </c>
      <c r="AO37" s="28"/>
      <c r="AP37" s="21"/>
      <c r="AQ37" s="28"/>
      <c r="AR37" s="21"/>
      <c r="AS37" s="17"/>
      <c r="AT37" s="1" t="s">
        <v>147</v>
      </c>
      <c r="AU37" s="14"/>
      <c r="AV37" s="14"/>
      <c r="AW37" s="14"/>
      <c r="AX37" s="14"/>
      <c r="AY37" s="17"/>
      <c r="AZ37" s="4"/>
      <c r="BG37" s="65" t="s">
        <v>148</v>
      </c>
      <c r="BH37" s="17" t="s">
        <v>149</v>
      </c>
      <c r="BI37" s="17"/>
      <c r="BJ37" s="17"/>
      <c r="BK37" s="17"/>
      <c r="BL37" s="17"/>
      <c r="BM37" s="17"/>
      <c r="BN37" s="65" t="s">
        <v>150</v>
      </c>
      <c r="BO37" s="17" t="s">
        <v>151</v>
      </c>
      <c r="BP37" s="17"/>
      <c r="BQ37" s="17"/>
      <c r="BR37" s="17"/>
      <c r="BS37" s="17"/>
      <c r="BT37" s="65" t="s">
        <v>152</v>
      </c>
      <c r="BU37" s="17" t="s">
        <v>153</v>
      </c>
      <c r="BV37" s="17"/>
      <c r="BW37" s="17"/>
      <c r="BX37" s="17"/>
      <c r="BY37" s="17"/>
      <c r="BZ37" s="65" t="s">
        <v>154</v>
      </c>
      <c r="CA37" s="17" t="s">
        <v>155</v>
      </c>
      <c r="CB37" s="17"/>
      <c r="CC37" s="17"/>
      <c r="CD37" s="17"/>
      <c r="CE37" s="17"/>
    </row>
    <row r="38" ht="9.0" customHeight="1">
      <c r="D38" s="1"/>
      <c r="J38" s="1" t="s">
        <v>156</v>
      </c>
      <c r="K38" s="93"/>
      <c r="L38" s="93"/>
      <c r="M38" s="93"/>
      <c r="N38" s="93"/>
      <c r="P38" s="1" t="s">
        <v>157</v>
      </c>
      <c r="Q38" s="94"/>
      <c r="R38" s="21"/>
      <c r="S38" s="43"/>
      <c r="T38" s="21"/>
      <c r="U38" s="17"/>
      <c r="V38" s="1" t="s">
        <v>158</v>
      </c>
      <c r="W38" s="43"/>
      <c r="X38" s="21"/>
      <c r="Y38" s="43"/>
      <c r="Z38" s="21"/>
      <c r="AA38" s="17"/>
      <c r="AB38" s="1"/>
      <c r="AC38" s="6">
        <f>SUM(AC60:AF60)/56</f>
        <v>0</v>
      </c>
      <c r="AD38" s="7"/>
      <c r="AE38" s="7"/>
      <c r="AF38" s="7"/>
      <c r="AH38" s="1" t="s">
        <v>159</v>
      </c>
      <c r="AI38" s="28"/>
      <c r="AJ38" s="21"/>
      <c r="AK38" s="28"/>
      <c r="AL38" s="21"/>
      <c r="AM38" s="17"/>
      <c r="AN38" s="1" t="s">
        <v>160</v>
      </c>
      <c r="AO38" s="14"/>
      <c r="AP38" s="14"/>
      <c r="AQ38" s="14"/>
      <c r="AR38" s="14"/>
      <c r="AS38" s="17"/>
      <c r="AT38" s="1" t="s">
        <v>161</v>
      </c>
      <c r="AU38" s="14"/>
      <c r="AV38" s="14"/>
      <c r="AW38" s="14"/>
      <c r="AX38" s="14"/>
      <c r="AY38" s="17"/>
      <c r="AZ38" s="4"/>
      <c r="BG38" s="65" t="s">
        <v>162</v>
      </c>
      <c r="BH38" s="17" t="s">
        <v>163</v>
      </c>
      <c r="BI38" s="17"/>
      <c r="BJ38" s="17"/>
      <c r="BK38" s="17"/>
      <c r="BL38" s="17"/>
      <c r="BM38" s="17"/>
      <c r="BN38" s="65" t="s">
        <v>164</v>
      </c>
      <c r="BO38" s="17" t="s">
        <v>165</v>
      </c>
      <c r="BP38" s="17"/>
      <c r="BQ38" s="17"/>
      <c r="BR38" s="17"/>
      <c r="BS38" s="17"/>
      <c r="BT38" s="65" t="s">
        <v>166</v>
      </c>
      <c r="BU38" s="17" t="s">
        <v>167</v>
      </c>
      <c r="BV38" s="17"/>
      <c r="BW38" s="17"/>
      <c r="BX38" s="17"/>
      <c r="BY38" s="17"/>
      <c r="BZ38" s="65" t="s">
        <v>168</v>
      </c>
      <c r="CA38" s="17" t="s">
        <v>169</v>
      </c>
      <c r="CB38" s="17"/>
      <c r="CC38" s="17"/>
      <c r="CD38" s="17"/>
      <c r="CE38" s="17"/>
    </row>
    <row r="39" ht="9.0" customHeight="1">
      <c r="D39" s="1"/>
      <c r="E39" s="6">
        <f>SUM(E60:H60)/52</f>
        <v>0</v>
      </c>
      <c r="F39" s="7"/>
      <c r="G39" s="7"/>
      <c r="H39" s="7"/>
      <c r="J39" s="1" t="s">
        <v>170</v>
      </c>
      <c r="K39" s="35"/>
      <c r="L39" s="35"/>
      <c r="M39" s="35"/>
      <c r="N39" s="35"/>
      <c r="P39" s="1" t="s">
        <v>171</v>
      </c>
      <c r="Q39" s="35"/>
      <c r="R39" s="35"/>
      <c r="S39" s="35"/>
      <c r="T39" s="35"/>
      <c r="U39" s="17"/>
      <c r="V39" s="1" t="s">
        <v>172</v>
      </c>
      <c r="W39" s="43"/>
      <c r="X39" s="21"/>
      <c r="Y39" s="43"/>
      <c r="Z39" s="21"/>
      <c r="AA39" s="17"/>
      <c r="AB39" s="1"/>
      <c r="AH39" s="1" t="s">
        <v>173</v>
      </c>
      <c r="AI39" s="28"/>
      <c r="AJ39" s="21"/>
      <c r="AK39" s="28"/>
      <c r="AL39" s="21"/>
      <c r="AM39" s="17"/>
      <c r="AN39" s="1" t="s">
        <v>174</v>
      </c>
      <c r="AO39" s="14"/>
      <c r="AP39" s="14"/>
      <c r="AQ39" s="14"/>
      <c r="AR39" s="14"/>
      <c r="AS39" s="17"/>
      <c r="AT39" s="1" t="s">
        <v>175</v>
      </c>
      <c r="AU39" s="14"/>
      <c r="AV39" s="14"/>
      <c r="AW39" s="14"/>
      <c r="AX39" s="14"/>
      <c r="AY39" s="17"/>
      <c r="AZ39" s="4"/>
      <c r="BG39" s="65" t="s">
        <v>176</v>
      </c>
      <c r="BH39" s="17" t="s">
        <v>177</v>
      </c>
      <c r="BI39" s="17"/>
      <c r="BJ39" s="17"/>
      <c r="BK39" s="17"/>
      <c r="BL39" s="17"/>
      <c r="BM39" s="17"/>
      <c r="BN39" s="65" t="s">
        <v>178</v>
      </c>
      <c r="BO39" s="17" t="s">
        <v>179</v>
      </c>
      <c r="BP39" s="17"/>
      <c r="BQ39" s="17"/>
      <c r="BR39" s="17"/>
      <c r="BS39" s="17"/>
      <c r="BT39" s="65" t="s">
        <v>180</v>
      </c>
      <c r="BU39" s="17" t="s">
        <v>181</v>
      </c>
      <c r="BV39" s="17"/>
      <c r="BW39" s="17"/>
      <c r="BX39" s="17"/>
      <c r="BY39" s="17"/>
      <c r="BZ39" s="65"/>
      <c r="CA39" s="17"/>
      <c r="CB39" s="17"/>
      <c r="CC39" s="17"/>
      <c r="CD39" s="17"/>
      <c r="CE39" s="17"/>
    </row>
    <row r="40" ht="9.0" customHeight="1">
      <c r="D40" s="1"/>
      <c r="J40" s="1" t="s">
        <v>182</v>
      </c>
      <c r="K40" s="35"/>
      <c r="L40" s="35"/>
      <c r="M40" s="35"/>
      <c r="N40" s="35"/>
      <c r="P40" s="1" t="s">
        <v>183</v>
      </c>
      <c r="Q40" s="43"/>
      <c r="R40" s="21"/>
      <c r="S40" s="43"/>
      <c r="T40" s="21"/>
      <c r="U40" s="17"/>
      <c r="V40" s="1" t="s">
        <v>184</v>
      </c>
      <c r="W40" s="35"/>
      <c r="X40" s="35"/>
      <c r="Y40" s="35"/>
      <c r="Z40" s="35"/>
      <c r="AA40" s="17"/>
      <c r="AB40" s="1" t="s">
        <v>185</v>
      </c>
      <c r="AC40" s="14"/>
      <c r="AD40" s="14"/>
      <c r="AE40" s="14"/>
      <c r="AF40" s="14"/>
      <c r="AG40" s="17"/>
      <c r="AH40" s="1" t="s">
        <v>186</v>
      </c>
      <c r="AI40" s="28"/>
      <c r="AJ40" s="21"/>
      <c r="AK40" s="28"/>
      <c r="AL40" s="21"/>
      <c r="AM40" s="17"/>
      <c r="AN40" s="1" t="s">
        <v>187</v>
      </c>
      <c r="AO40" s="28"/>
      <c r="AP40" s="21"/>
      <c r="AQ40" s="28"/>
      <c r="AR40" s="21"/>
      <c r="AS40" s="17"/>
      <c r="AT40" s="1" t="s">
        <v>188</v>
      </c>
      <c r="AU40" s="14"/>
      <c r="AV40" s="14"/>
      <c r="AW40" s="14"/>
      <c r="AX40" s="14"/>
      <c r="AY40" s="17"/>
      <c r="AZ40" s="4"/>
      <c r="BG40" s="65" t="s">
        <v>189</v>
      </c>
      <c r="BH40" s="17" t="s">
        <v>190</v>
      </c>
      <c r="BI40" s="17"/>
      <c r="BJ40" s="17"/>
      <c r="BK40" s="17"/>
      <c r="BL40" s="17"/>
      <c r="BM40" s="17"/>
      <c r="BN40" s="65" t="s">
        <v>191</v>
      </c>
      <c r="BO40" s="17" t="s">
        <v>192</v>
      </c>
      <c r="BP40" s="17"/>
      <c r="BQ40" s="17"/>
      <c r="BR40" s="17"/>
      <c r="BS40" s="17"/>
      <c r="BT40" s="65" t="s">
        <v>193</v>
      </c>
      <c r="BU40" s="17" t="s">
        <v>194</v>
      </c>
      <c r="BV40" s="17"/>
      <c r="BW40" s="17"/>
      <c r="BX40" s="17"/>
      <c r="BY40" s="17"/>
      <c r="BZ40" s="65"/>
      <c r="CA40" s="17"/>
      <c r="CB40" s="17"/>
    </row>
    <row r="41" ht="9.0" customHeight="1">
      <c r="D41" s="1" t="s">
        <v>195</v>
      </c>
      <c r="E41" s="28"/>
      <c r="F41" s="21"/>
      <c r="G41" s="43"/>
      <c r="H41" s="21"/>
      <c r="J41" s="1" t="s">
        <v>196</v>
      </c>
      <c r="K41" s="35"/>
      <c r="L41" s="35"/>
      <c r="M41" s="35"/>
      <c r="N41" s="35"/>
      <c r="P41" s="1" t="s">
        <v>197</v>
      </c>
      <c r="Q41" s="43"/>
      <c r="R41" s="21"/>
      <c r="S41" s="43"/>
      <c r="T41" s="21"/>
      <c r="U41" s="17"/>
      <c r="V41" s="1" t="s">
        <v>198</v>
      </c>
      <c r="W41" s="43"/>
      <c r="X41" s="21"/>
      <c r="Y41" s="43"/>
      <c r="Z41" s="21"/>
      <c r="AA41" s="17"/>
      <c r="AB41" s="1" t="s">
        <v>199</v>
      </c>
      <c r="AC41" s="14"/>
      <c r="AD41" s="14"/>
      <c r="AE41" s="14"/>
      <c r="AF41" s="14"/>
      <c r="AG41" s="17"/>
      <c r="AH41" s="1" t="s">
        <v>200</v>
      </c>
      <c r="AI41" s="28"/>
      <c r="AJ41" s="21"/>
      <c r="AK41" s="28"/>
      <c r="AL41" s="21"/>
      <c r="AM41" s="17"/>
      <c r="AN41" s="1" t="s">
        <v>201</v>
      </c>
      <c r="AO41" s="14"/>
      <c r="AP41" s="14"/>
      <c r="AQ41" s="14"/>
      <c r="AR41" s="14"/>
      <c r="AS41" s="17"/>
      <c r="AT41" s="1" t="s">
        <v>202</v>
      </c>
      <c r="AU41" s="14"/>
      <c r="AV41" s="14"/>
      <c r="AW41" s="14"/>
      <c r="AX41" s="14"/>
      <c r="AY41" s="17"/>
      <c r="AZ41" s="4"/>
      <c r="BG41" s="65" t="s">
        <v>203</v>
      </c>
      <c r="BH41" s="17" t="s">
        <v>204</v>
      </c>
      <c r="BI41" s="17"/>
      <c r="BJ41" s="17"/>
      <c r="BK41" s="17"/>
      <c r="BL41" s="17"/>
      <c r="BM41" s="17"/>
      <c r="BN41" s="95"/>
      <c r="BT41" s="95"/>
      <c r="BZ41" s="95"/>
    </row>
    <row r="42" ht="9.0" customHeight="1">
      <c r="D42" s="1" t="s">
        <v>205</v>
      </c>
      <c r="E42" s="43"/>
      <c r="F42" s="21"/>
      <c r="G42" s="43"/>
      <c r="H42" s="21"/>
      <c r="J42" s="1" t="s">
        <v>206</v>
      </c>
      <c r="K42" s="35"/>
      <c r="L42" s="35"/>
      <c r="M42" s="35"/>
      <c r="N42" s="35"/>
      <c r="P42" s="1" t="s">
        <v>207</v>
      </c>
      <c r="Q42" s="43"/>
      <c r="R42" s="21"/>
      <c r="S42" s="43"/>
      <c r="T42" s="21"/>
      <c r="U42" s="17"/>
      <c r="V42" s="1" t="s">
        <v>208</v>
      </c>
      <c r="W42" s="43"/>
      <c r="X42" s="21"/>
      <c r="Y42" s="43"/>
      <c r="Z42" s="21"/>
      <c r="AA42" s="17"/>
      <c r="AB42" s="1" t="s">
        <v>209</v>
      </c>
      <c r="AC42" s="28"/>
      <c r="AD42" s="21"/>
      <c r="AE42" s="96"/>
      <c r="AF42" s="21"/>
      <c r="AG42" s="17"/>
      <c r="AH42" s="1" t="s">
        <v>210</v>
      </c>
      <c r="AI42" s="28"/>
      <c r="AJ42" s="21"/>
      <c r="AK42" s="28"/>
      <c r="AL42" s="21"/>
      <c r="AM42" s="17"/>
      <c r="AN42" s="1" t="s">
        <v>211</v>
      </c>
      <c r="AO42" s="14"/>
      <c r="AP42" s="14"/>
      <c r="AQ42" s="14"/>
      <c r="AR42" s="14"/>
      <c r="AS42" s="17"/>
      <c r="AT42" s="1" t="s">
        <v>212</v>
      </c>
      <c r="AU42" s="14"/>
      <c r="AV42" s="14"/>
      <c r="AW42" s="14"/>
      <c r="AX42" s="14"/>
      <c r="AY42" s="17"/>
      <c r="AZ42" s="4"/>
      <c r="BG42" s="65" t="s">
        <v>213</v>
      </c>
      <c r="BH42" s="17" t="s">
        <v>214</v>
      </c>
      <c r="BI42" s="17"/>
      <c r="BJ42" s="17"/>
      <c r="BK42" s="17"/>
      <c r="BL42" s="17"/>
      <c r="BM42" s="17"/>
      <c r="BN42" s="95"/>
      <c r="BT42" s="95"/>
      <c r="BZ42" s="95"/>
    </row>
    <row r="43" ht="9.0" customHeight="1">
      <c r="D43" s="1" t="s">
        <v>215</v>
      </c>
      <c r="E43" s="35"/>
      <c r="F43" s="35"/>
      <c r="G43" s="35"/>
      <c r="H43" s="35"/>
      <c r="J43" s="1" t="s">
        <v>216</v>
      </c>
      <c r="K43" s="35"/>
      <c r="L43" s="35"/>
      <c r="M43" s="35"/>
      <c r="N43" s="35"/>
      <c r="P43" s="1" t="s">
        <v>217</v>
      </c>
      <c r="Q43" s="35"/>
      <c r="R43" s="35"/>
      <c r="S43" s="35"/>
      <c r="T43" s="35"/>
      <c r="U43" s="17"/>
      <c r="V43" s="1" t="s">
        <v>218</v>
      </c>
      <c r="W43" s="43"/>
      <c r="X43" s="21"/>
      <c r="Y43" s="43"/>
      <c r="Z43" s="21"/>
      <c r="AA43" s="17"/>
      <c r="AB43" s="1" t="s">
        <v>219</v>
      </c>
      <c r="AC43" s="28"/>
      <c r="AD43" s="21"/>
      <c r="AE43" s="96"/>
      <c r="AF43" s="21"/>
      <c r="AG43" s="17"/>
      <c r="AH43" s="1" t="s">
        <v>220</v>
      </c>
      <c r="AI43" s="28"/>
      <c r="AJ43" s="21"/>
      <c r="AK43" s="28"/>
      <c r="AL43" s="21"/>
      <c r="AM43" s="17"/>
      <c r="AN43" s="1" t="s">
        <v>221</v>
      </c>
      <c r="AO43" s="14"/>
      <c r="AP43" s="14"/>
      <c r="AQ43" s="14"/>
      <c r="AR43" s="14"/>
      <c r="AS43" s="17"/>
      <c r="AT43" s="1" t="s">
        <v>222</v>
      </c>
      <c r="AU43" s="14"/>
      <c r="AV43" s="14"/>
      <c r="AW43" s="14"/>
      <c r="AX43" s="14"/>
      <c r="AY43" s="17"/>
      <c r="AZ43" s="4"/>
      <c r="BG43" s="65" t="s">
        <v>223</v>
      </c>
      <c r="BH43" s="17" t="s">
        <v>224</v>
      </c>
      <c r="BI43" s="17"/>
      <c r="BJ43" s="17"/>
      <c r="BK43" s="17"/>
      <c r="BL43" s="17"/>
      <c r="BM43" s="17"/>
      <c r="BN43" s="95"/>
      <c r="BT43" s="95"/>
      <c r="BZ43" s="95"/>
    </row>
    <row r="44" ht="9.0" customHeight="1">
      <c r="D44" s="1" t="s">
        <v>225</v>
      </c>
      <c r="E44" s="35"/>
      <c r="F44" s="35"/>
      <c r="G44" s="35"/>
      <c r="H44" s="35"/>
      <c r="J44" s="1" t="s">
        <v>226</v>
      </c>
      <c r="K44" s="35"/>
      <c r="L44" s="35"/>
      <c r="M44" s="35"/>
      <c r="N44" s="35"/>
      <c r="P44" s="1" t="s">
        <v>227</v>
      </c>
      <c r="Q44" s="35"/>
      <c r="R44" s="35"/>
      <c r="S44" s="35"/>
      <c r="T44" s="35"/>
      <c r="U44" s="17"/>
      <c r="V44" s="1" t="s">
        <v>228</v>
      </c>
      <c r="W44" s="43"/>
      <c r="X44" s="21"/>
      <c r="Y44" s="43"/>
      <c r="Z44" s="21"/>
      <c r="AA44" s="17"/>
      <c r="AB44" s="1" t="s">
        <v>229</v>
      </c>
      <c r="AC44" s="28"/>
      <c r="AD44" s="21"/>
      <c r="AE44" s="96"/>
      <c r="AF44" s="20"/>
      <c r="AG44" s="97"/>
      <c r="AH44" s="1" t="s">
        <v>230</v>
      </c>
      <c r="AI44" s="28"/>
      <c r="AJ44" s="21"/>
      <c r="AK44" s="28"/>
      <c r="AL44" s="21"/>
      <c r="AM44" s="17"/>
      <c r="AN44" s="1" t="s">
        <v>231</v>
      </c>
      <c r="AO44" s="14"/>
      <c r="AP44" s="14"/>
      <c r="AQ44" s="14"/>
      <c r="AR44" s="14"/>
      <c r="AS44" s="17"/>
      <c r="AT44" s="1" t="s">
        <v>232</v>
      </c>
      <c r="AU44" s="14"/>
      <c r="AV44" s="14"/>
      <c r="AW44" s="14"/>
      <c r="AX44" s="14"/>
      <c r="AY44" s="17"/>
      <c r="AZ44" s="4"/>
      <c r="BG44" s="65" t="s">
        <v>233</v>
      </c>
      <c r="BH44" s="17" t="s">
        <v>234</v>
      </c>
      <c r="BI44" s="17"/>
      <c r="BJ44" s="17"/>
      <c r="BK44" s="17"/>
      <c r="BL44" s="17"/>
      <c r="BM44" s="17"/>
      <c r="BN44" s="95"/>
      <c r="BT44" s="95"/>
      <c r="BZ44" s="95"/>
    </row>
    <row r="45" ht="9.0" customHeight="1">
      <c r="D45" s="1" t="s">
        <v>235</v>
      </c>
      <c r="E45" s="43"/>
      <c r="F45" s="21"/>
      <c r="G45" s="43"/>
      <c r="H45" s="21"/>
      <c r="J45" s="1" t="s">
        <v>236</v>
      </c>
      <c r="K45" s="35"/>
      <c r="L45" s="35"/>
      <c r="M45" s="35"/>
      <c r="N45" s="35"/>
      <c r="P45" s="1" t="s">
        <v>237</v>
      </c>
      <c r="Q45" s="35"/>
      <c r="R45" s="35"/>
      <c r="S45" s="35"/>
      <c r="T45" s="35"/>
      <c r="U45" s="17"/>
      <c r="V45" s="1" t="s">
        <v>238</v>
      </c>
      <c r="W45" s="43"/>
      <c r="X45" s="21"/>
      <c r="Y45" s="43"/>
      <c r="Z45" s="21"/>
      <c r="AA45" s="17"/>
      <c r="AB45" s="1" t="s">
        <v>239</v>
      </c>
      <c r="AC45" s="87"/>
      <c r="AD45" s="49"/>
      <c r="AE45" s="98"/>
      <c r="AF45" s="49"/>
      <c r="AG45" s="97"/>
      <c r="AH45" s="1" t="s">
        <v>240</v>
      </c>
      <c r="AI45" s="28"/>
      <c r="AJ45" s="21"/>
      <c r="AK45" s="28"/>
      <c r="AL45" s="21"/>
      <c r="AM45" s="17"/>
      <c r="AN45" s="1" t="s">
        <v>241</v>
      </c>
      <c r="AO45" s="14"/>
      <c r="AP45" s="14"/>
      <c r="AQ45" s="14"/>
      <c r="AR45" s="14"/>
      <c r="AS45" s="17"/>
      <c r="AT45" s="1" t="s">
        <v>242</v>
      </c>
      <c r="AU45" s="14"/>
      <c r="AV45" s="14"/>
      <c r="AW45" s="14"/>
      <c r="AX45" s="14"/>
      <c r="AY45" s="17"/>
      <c r="AZ45" s="4"/>
      <c r="BG45" s="65" t="s">
        <v>243</v>
      </c>
      <c r="BH45" s="17" t="s">
        <v>244</v>
      </c>
      <c r="BI45" s="17"/>
      <c r="BJ45" s="17"/>
      <c r="BK45" s="17"/>
      <c r="BL45" s="17"/>
      <c r="BM45" s="17"/>
      <c r="BN45" s="95"/>
      <c r="BT45" s="95"/>
      <c r="BZ45" s="95"/>
    </row>
    <row r="46" ht="9.0" customHeight="1">
      <c r="D46" s="1" t="s">
        <v>245</v>
      </c>
      <c r="E46" s="35"/>
      <c r="F46" s="35"/>
      <c r="G46" s="35"/>
      <c r="H46" s="35"/>
      <c r="J46" s="1" t="s">
        <v>246</v>
      </c>
      <c r="K46" s="35"/>
      <c r="L46" s="35"/>
      <c r="M46" s="35"/>
      <c r="N46" s="35"/>
      <c r="P46" s="1" t="s">
        <v>247</v>
      </c>
      <c r="Q46" s="35"/>
      <c r="R46" s="35"/>
      <c r="S46" s="35"/>
      <c r="T46" s="35"/>
      <c r="U46" s="17"/>
      <c r="V46" s="1" t="s">
        <v>248</v>
      </c>
      <c r="W46" s="43"/>
      <c r="X46" s="21"/>
      <c r="Y46" s="43"/>
      <c r="Z46" s="21"/>
      <c r="AA46" s="17"/>
      <c r="AB46" s="1" t="s">
        <v>249</v>
      </c>
      <c r="AC46" s="14"/>
      <c r="AD46" s="14"/>
      <c r="AE46" s="14"/>
      <c r="AF46" s="14"/>
      <c r="AG46" s="97"/>
      <c r="AH46" s="1" t="s">
        <v>250</v>
      </c>
      <c r="AI46" s="14"/>
      <c r="AJ46" s="14"/>
      <c r="AK46" s="14"/>
      <c r="AL46" s="14"/>
      <c r="AM46" s="17"/>
      <c r="AN46" s="1" t="s">
        <v>251</v>
      </c>
      <c r="AO46" s="14"/>
      <c r="AP46" s="14"/>
      <c r="AQ46" s="14"/>
      <c r="AR46" s="14"/>
      <c r="AS46" s="17"/>
      <c r="AT46" s="1" t="s">
        <v>252</v>
      </c>
      <c r="AU46" s="14"/>
      <c r="AV46" s="14"/>
      <c r="AW46" s="14"/>
      <c r="AX46" s="14"/>
      <c r="AY46" s="17"/>
      <c r="AZ46" s="4"/>
      <c r="BG46" s="65" t="s">
        <v>253</v>
      </c>
      <c r="BH46" s="17" t="s">
        <v>254</v>
      </c>
      <c r="BI46" s="17"/>
      <c r="BJ46" s="17"/>
      <c r="BK46" s="17"/>
      <c r="BL46" s="17"/>
      <c r="BM46" s="17"/>
      <c r="BT46" s="95"/>
      <c r="BZ46" s="95"/>
    </row>
    <row r="47" ht="9.0" customHeight="1">
      <c r="D47" s="1" t="s">
        <v>255</v>
      </c>
      <c r="E47" s="35"/>
      <c r="F47" s="35"/>
      <c r="G47" s="35"/>
      <c r="H47" s="35"/>
      <c r="J47" s="1" t="s">
        <v>256</v>
      </c>
      <c r="K47" s="35"/>
      <c r="L47" s="35"/>
      <c r="M47" s="35"/>
      <c r="N47" s="35"/>
      <c r="P47" s="1" t="s">
        <v>257</v>
      </c>
      <c r="Q47" s="35"/>
      <c r="R47" s="35"/>
      <c r="S47" s="35"/>
      <c r="T47" s="35"/>
      <c r="U47" s="17"/>
      <c r="V47" s="1" t="s">
        <v>258</v>
      </c>
      <c r="W47" s="43"/>
      <c r="X47" s="21"/>
      <c r="Y47" s="43"/>
      <c r="Z47" s="21"/>
      <c r="AA47" s="17"/>
      <c r="AB47" s="1" t="s">
        <v>259</v>
      </c>
      <c r="AC47" s="14"/>
      <c r="AD47" s="14"/>
      <c r="AE47" s="14"/>
      <c r="AF47" s="14"/>
      <c r="AG47" s="97"/>
      <c r="AH47" s="1" t="s">
        <v>260</v>
      </c>
      <c r="AI47" s="43"/>
      <c r="AJ47" s="21"/>
      <c r="AK47" s="43"/>
      <c r="AL47" s="21"/>
      <c r="AM47" s="17"/>
      <c r="AN47" s="1" t="s">
        <v>261</v>
      </c>
      <c r="AO47" s="14"/>
      <c r="AP47" s="14"/>
      <c r="AQ47" s="14"/>
      <c r="AR47" s="14"/>
      <c r="AS47" s="17"/>
      <c r="AT47" s="1" t="s">
        <v>262</v>
      </c>
      <c r="AU47" s="14"/>
      <c r="AV47" s="14"/>
      <c r="AW47" s="14"/>
      <c r="AX47" s="14"/>
      <c r="AY47" s="17"/>
      <c r="AZ47" s="4"/>
      <c r="BL47" s="17"/>
      <c r="BM47" s="17"/>
      <c r="BT47" s="95"/>
      <c r="BW47" s="17" t="s">
        <v>263</v>
      </c>
      <c r="BZ47" s="95"/>
    </row>
    <row r="48" ht="9.0" customHeight="1">
      <c r="D48" s="1" t="s">
        <v>264</v>
      </c>
      <c r="E48" s="43"/>
      <c r="F48" s="21"/>
      <c r="G48" s="43"/>
      <c r="H48" s="21"/>
      <c r="J48" s="1" t="s">
        <v>265</v>
      </c>
      <c r="K48" s="35"/>
      <c r="L48" s="35"/>
      <c r="M48" s="35"/>
      <c r="N48" s="35"/>
      <c r="P48" s="1" t="s">
        <v>266</v>
      </c>
      <c r="Q48" s="43"/>
      <c r="R48" s="21"/>
      <c r="S48" s="43"/>
      <c r="T48" s="21"/>
      <c r="U48" s="17"/>
      <c r="V48" s="1" t="s">
        <v>267</v>
      </c>
      <c r="W48" s="35"/>
      <c r="X48" s="35"/>
      <c r="Y48" s="35"/>
      <c r="Z48" s="35"/>
      <c r="AA48" s="17"/>
      <c r="AB48" s="1" t="s">
        <v>268</v>
      </c>
      <c r="AC48" s="14"/>
      <c r="AD48" s="14"/>
      <c r="AE48" s="14"/>
      <c r="AF48" s="14"/>
      <c r="AG48" s="97"/>
      <c r="AH48" s="1" t="s">
        <v>269</v>
      </c>
      <c r="AI48" s="43"/>
      <c r="AJ48" s="21"/>
      <c r="AK48" s="43"/>
      <c r="AL48" s="21"/>
      <c r="AM48" s="17"/>
      <c r="AN48" s="1" t="s">
        <v>270</v>
      </c>
      <c r="AO48" s="14"/>
      <c r="AP48" s="14"/>
      <c r="AQ48" s="14"/>
      <c r="AR48" s="14"/>
      <c r="AS48" s="17"/>
      <c r="AT48" s="1" t="s">
        <v>271</v>
      </c>
      <c r="AU48" s="14"/>
      <c r="AV48" s="14"/>
      <c r="AW48" s="14"/>
      <c r="AX48" s="14"/>
      <c r="AY48" s="17"/>
      <c r="AZ48" s="4"/>
      <c r="BG48" s="99"/>
      <c r="BH48" s="17" t="s">
        <v>272</v>
      </c>
      <c r="BL48" s="17"/>
      <c r="BM48" s="17"/>
      <c r="BT48" s="95"/>
      <c r="BV48" s="65" t="s">
        <v>273</v>
      </c>
      <c r="BW48" s="17">
        <f>AVERAGE(BF7:BO7)</f>
        <v>0</v>
      </c>
      <c r="BZ48" s="95"/>
    </row>
    <row r="49" ht="9.0" customHeight="1">
      <c r="D49" s="1" t="s">
        <v>274</v>
      </c>
      <c r="E49" s="43"/>
      <c r="F49" s="21"/>
      <c r="G49" s="43"/>
      <c r="H49" s="21"/>
      <c r="I49" s="2"/>
      <c r="J49" s="1" t="s">
        <v>275</v>
      </c>
      <c r="K49" s="35"/>
      <c r="L49" s="35"/>
      <c r="M49" s="35"/>
      <c r="N49" s="35"/>
      <c r="P49" s="1" t="s">
        <v>276</v>
      </c>
      <c r="Q49" s="43"/>
      <c r="R49" s="21"/>
      <c r="S49" s="43"/>
      <c r="T49" s="21"/>
      <c r="U49" s="17"/>
      <c r="V49" s="1" t="s">
        <v>277</v>
      </c>
      <c r="W49" s="35"/>
      <c r="X49" s="35"/>
      <c r="Y49" s="35"/>
      <c r="Z49" s="35"/>
      <c r="AA49" s="17"/>
      <c r="AB49" s="1" t="s">
        <v>278</v>
      </c>
      <c r="AC49" s="14"/>
      <c r="AD49" s="14"/>
      <c r="AE49" s="14"/>
      <c r="AF49" s="14"/>
      <c r="AG49" s="97"/>
      <c r="AH49" s="1" t="s">
        <v>279</v>
      </c>
      <c r="AI49" s="43"/>
      <c r="AJ49" s="21"/>
      <c r="AK49" s="43"/>
      <c r="AL49" s="21"/>
      <c r="AM49" s="17"/>
      <c r="AN49" s="1" t="s">
        <v>280</v>
      </c>
      <c r="AO49" s="28"/>
      <c r="AP49" s="21"/>
      <c r="AQ49" s="28"/>
      <c r="AR49" s="21"/>
      <c r="AS49" s="17"/>
      <c r="AT49" s="1" t="s">
        <v>281</v>
      </c>
      <c r="AU49" s="14"/>
      <c r="AV49" s="14"/>
      <c r="AW49" s="14"/>
      <c r="AX49" s="14"/>
      <c r="AY49" s="17"/>
      <c r="AZ49" s="4"/>
      <c r="BA49" s="6">
        <f>SUM(BA60:BD60)/28</f>
        <v>0</v>
      </c>
      <c r="BB49" s="7"/>
      <c r="BC49" s="7"/>
      <c r="BD49" s="7"/>
      <c r="BG49" s="65" t="s">
        <v>282</v>
      </c>
      <c r="BH49" s="17" t="s">
        <v>283</v>
      </c>
      <c r="BI49" s="17"/>
      <c r="BJ49" s="17"/>
      <c r="BL49" s="17"/>
      <c r="BM49" s="17"/>
      <c r="BT49" s="95"/>
      <c r="BV49" s="65" t="s">
        <v>272</v>
      </c>
      <c r="BW49" s="17">
        <f>AVERAGE(BP7:BT7)</f>
        <v>0</v>
      </c>
      <c r="BZ49" s="95"/>
    </row>
    <row r="50" ht="9.0" customHeight="1">
      <c r="D50" s="1" t="s">
        <v>284</v>
      </c>
      <c r="E50" s="43"/>
      <c r="F50" s="21"/>
      <c r="G50" s="43"/>
      <c r="H50" s="21"/>
      <c r="I50" s="2"/>
      <c r="J50" s="1" t="s">
        <v>285</v>
      </c>
      <c r="K50" s="35"/>
      <c r="L50" s="35"/>
      <c r="M50" s="35"/>
      <c r="N50" s="35"/>
      <c r="P50" s="1" t="s">
        <v>286</v>
      </c>
      <c r="Q50" s="43"/>
      <c r="R50" s="21"/>
      <c r="S50" s="43"/>
      <c r="T50" s="21"/>
      <c r="U50" s="17"/>
      <c r="V50" s="1" t="s">
        <v>287</v>
      </c>
      <c r="W50" s="43"/>
      <c r="X50" s="21"/>
      <c r="Y50" s="43"/>
      <c r="Z50" s="21"/>
      <c r="AA50" s="17"/>
      <c r="AB50" s="1" t="s">
        <v>288</v>
      </c>
      <c r="AC50" s="28"/>
      <c r="AD50" s="21"/>
      <c r="AE50" s="28"/>
      <c r="AF50" s="21"/>
      <c r="AG50" s="97"/>
      <c r="AH50" s="1" t="s">
        <v>289</v>
      </c>
      <c r="AI50" s="43"/>
      <c r="AJ50" s="21"/>
      <c r="AK50" s="43"/>
      <c r="AL50" s="21"/>
      <c r="AM50" s="17"/>
      <c r="AN50" s="1" t="s">
        <v>290</v>
      </c>
      <c r="AO50" s="43"/>
      <c r="AP50" s="21"/>
      <c r="AQ50" s="43"/>
      <c r="AR50" s="21"/>
      <c r="AS50" s="17"/>
      <c r="AT50" s="1" t="s">
        <v>291</v>
      </c>
      <c r="AU50" s="14"/>
      <c r="AV50" s="14"/>
      <c r="AW50" s="14"/>
      <c r="AX50" s="14"/>
      <c r="AY50" s="17"/>
      <c r="AZ50" s="4"/>
      <c r="BG50" s="65" t="s">
        <v>292</v>
      </c>
      <c r="BH50" s="17" t="s">
        <v>293</v>
      </c>
      <c r="BI50" s="17"/>
      <c r="BJ50" s="17"/>
      <c r="BL50" s="17"/>
      <c r="BM50" s="17"/>
      <c r="BT50" s="95"/>
      <c r="BV50" s="65" t="s">
        <v>294</v>
      </c>
      <c r="BW50" s="17">
        <f>AVERAGE(BU7:BX7)</f>
        <v>0</v>
      </c>
      <c r="BZ50" s="95"/>
    </row>
    <row r="51" ht="9.0" customHeight="1">
      <c r="D51" s="1" t="s">
        <v>295</v>
      </c>
      <c r="E51" s="43"/>
      <c r="F51" s="21"/>
      <c r="G51" s="43"/>
      <c r="H51" s="21"/>
      <c r="I51" s="2"/>
      <c r="J51" s="1" t="s">
        <v>296</v>
      </c>
      <c r="K51" s="35"/>
      <c r="L51" s="35"/>
      <c r="M51" s="35"/>
      <c r="N51" s="35"/>
      <c r="O51" s="17"/>
      <c r="P51" s="1" t="s">
        <v>297</v>
      </c>
      <c r="Q51" s="35"/>
      <c r="R51" s="35"/>
      <c r="S51" s="35"/>
      <c r="T51" s="35"/>
      <c r="U51" s="17"/>
      <c r="V51" s="1" t="s">
        <v>298</v>
      </c>
      <c r="W51" s="43"/>
      <c r="X51" s="21"/>
      <c r="Y51" s="43"/>
      <c r="Z51" s="21"/>
      <c r="AA51" s="17"/>
      <c r="AB51" s="1" t="s">
        <v>299</v>
      </c>
      <c r="AC51" s="28"/>
      <c r="AD51" s="21"/>
      <c r="AE51" s="28"/>
      <c r="AF51" s="21"/>
      <c r="AG51" s="97"/>
      <c r="AH51" s="1" t="s">
        <v>300</v>
      </c>
      <c r="AI51" s="35"/>
      <c r="AJ51" s="100"/>
      <c r="AK51" s="35"/>
      <c r="AL51" s="35"/>
      <c r="AM51" s="17"/>
      <c r="AN51" s="1" t="s">
        <v>301</v>
      </c>
      <c r="AO51" s="43"/>
      <c r="AP51" s="21"/>
      <c r="AQ51" s="43"/>
      <c r="AR51" s="21"/>
      <c r="AS51" s="17"/>
      <c r="AT51" s="1" t="s">
        <v>302</v>
      </c>
      <c r="AU51" s="14"/>
      <c r="AV51" s="14"/>
      <c r="AW51" s="14"/>
      <c r="AX51" s="14"/>
      <c r="AY51" s="17"/>
      <c r="AZ51" s="4" t="s">
        <v>303</v>
      </c>
      <c r="BA51" s="28"/>
      <c r="BB51" s="21"/>
      <c r="BC51" s="28"/>
      <c r="BD51" s="21"/>
      <c r="BE51" s="17"/>
      <c r="BG51" s="65" t="s">
        <v>304</v>
      </c>
      <c r="BH51" s="17" t="s">
        <v>305</v>
      </c>
      <c r="BI51" s="17"/>
      <c r="BJ51" s="17"/>
      <c r="BK51" s="17"/>
      <c r="BL51" s="17"/>
      <c r="BM51" s="17"/>
      <c r="BN51" s="95"/>
      <c r="BT51" s="95"/>
      <c r="BV51" s="65" t="s">
        <v>306</v>
      </c>
      <c r="BW51" s="17">
        <f>AVERAGE(BY7:CB7)</f>
        <v>0</v>
      </c>
      <c r="BZ51" s="95"/>
    </row>
    <row r="52" ht="9.0" customHeight="1">
      <c r="D52" s="1" t="s">
        <v>307</v>
      </c>
      <c r="E52" s="43"/>
      <c r="F52" s="21"/>
      <c r="G52" s="94"/>
      <c r="H52" s="21"/>
      <c r="I52" s="2"/>
      <c r="J52" s="1" t="s">
        <v>308</v>
      </c>
      <c r="K52" s="35"/>
      <c r="L52" s="35"/>
      <c r="M52" s="35"/>
      <c r="N52" s="35"/>
      <c r="P52" s="1" t="s">
        <v>309</v>
      </c>
      <c r="Q52" s="43"/>
      <c r="R52" s="21"/>
      <c r="S52" s="43"/>
      <c r="T52" s="21"/>
      <c r="U52" s="17"/>
      <c r="V52" s="1" t="s">
        <v>310</v>
      </c>
      <c r="W52" s="35"/>
      <c r="X52" s="35"/>
      <c r="Y52" s="100"/>
      <c r="Z52" s="35"/>
      <c r="AA52" s="17"/>
      <c r="AB52" s="1" t="s">
        <v>311</v>
      </c>
      <c r="AC52" s="101"/>
      <c r="AD52" s="21"/>
      <c r="AE52" s="101"/>
      <c r="AF52" s="21"/>
      <c r="AG52" s="97"/>
      <c r="AH52" s="1" t="s">
        <v>312</v>
      </c>
      <c r="AI52" s="35"/>
      <c r="AJ52" s="35"/>
      <c r="AK52" s="35"/>
      <c r="AL52" s="35"/>
      <c r="AM52" s="17"/>
      <c r="AN52" s="1" t="s">
        <v>313</v>
      </c>
      <c r="AO52" s="35"/>
      <c r="AP52" s="35"/>
      <c r="AQ52" s="35"/>
      <c r="AR52" s="35"/>
      <c r="AS52" s="17"/>
      <c r="AT52" s="1" t="s">
        <v>314</v>
      </c>
      <c r="AU52" s="14"/>
      <c r="AV52" s="14"/>
      <c r="AW52" s="14"/>
      <c r="AX52" s="14"/>
      <c r="AY52" s="17"/>
      <c r="AZ52" s="4" t="s">
        <v>315</v>
      </c>
      <c r="BA52" s="28"/>
      <c r="BB52" s="21"/>
      <c r="BC52" s="28"/>
      <c r="BD52" s="21"/>
      <c r="BE52" s="17"/>
      <c r="BG52" s="65" t="s">
        <v>316</v>
      </c>
      <c r="BH52" s="17" t="s">
        <v>317</v>
      </c>
      <c r="BI52" s="17"/>
      <c r="BJ52" s="17"/>
      <c r="BK52" s="17"/>
      <c r="BT52" s="95"/>
      <c r="BV52" s="65" t="s">
        <v>318</v>
      </c>
      <c r="BW52" s="17">
        <f>AVERAGE(CC7:CD7)</f>
        <v>0</v>
      </c>
    </row>
    <row r="53" ht="9.0" customHeight="1">
      <c r="D53" s="1" t="s">
        <v>319</v>
      </c>
      <c r="E53" s="43"/>
      <c r="F53" s="21"/>
      <c r="G53" s="43"/>
      <c r="H53" s="21"/>
      <c r="I53" s="2"/>
      <c r="J53" s="1" t="s">
        <v>320</v>
      </c>
      <c r="K53" s="43"/>
      <c r="L53" s="21"/>
      <c r="M53" s="43"/>
      <c r="N53" s="21"/>
      <c r="P53" s="1" t="s">
        <v>321</v>
      </c>
      <c r="Q53" s="35"/>
      <c r="R53" s="35"/>
      <c r="S53" s="35"/>
      <c r="T53" s="35"/>
      <c r="U53" s="17"/>
      <c r="V53" s="1" t="s">
        <v>322</v>
      </c>
      <c r="W53" s="43"/>
      <c r="X53" s="21"/>
      <c r="Y53" s="43"/>
      <c r="Z53" s="21"/>
      <c r="AA53" s="17"/>
      <c r="AB53" s="1" t="s">
        <v>323</v>
      </c>
      <c r="AC53" s="101"/>
      <c r="AD53" s="21"/>
      <c r="AE53" s="101"/>
      <c r="AF53" s="21"/>
      <c r="AG53" s="97"/>
      <c r="AH53" s="1" t="s">
        <v>324</v>
      </c>
      <c r="AI53" s="43"/>
      <c r="AJ53" s="21"/>
      <c r="AK53" s="43"/>
      <c r="AL53" s="21"/>
      <c r="AM53" s="17"/>
      <c r="AN53" s="1" t="s">
        <v>325</v>
      </c>
      <c r="AO53" s="35"/>
      <c r="AP53" s="35"/>
      <c r="AQ53" s="35"/>
      <c r="AR53" s="35"/>
      <c r="AS53" s="17"/>
      <c r="AT53" s="1" t="s">
        <v>326</v>
      </c>
      <c r="AU53" s="14"/>
      <c r="AV53" s="14"/>
      <c r="AW53" s="14"/>
      <c r="AX53" s="14"/>
      <c r="AY53" s="17"/>
      <c r="AZ53" s="4" t="s">
        <v>327</v>
      </c>
      <c r="BA53" s="28"/>
      <c r="BB53" s="21"/>
      <c r="BC53" s="28"/>
      <c r="BD53" s="21"/>
      <c r="BE53" s="17"/>
      <c r="BG53" s="65" t="s">
        <v>328</v>
      </c>
      <c r="BH53" s="17" t="s">
        <v>329</v>
      </c>
      <c r="BI53" s="17"/>
      <c r="BJ53" s="17"/>
      <c r="BK53" s="17"/>
    </row>
    <row r="54" ht="9.0" customHeight="1">
      <c r="D54" s="1" t="s">
        <v>330</v>
      </c>
      <c r="E54" s="35"/>
      <c r="F54" s="35"/>
      <c r="G54" s="35"/>
      <c r="H54" s="35"/>
      <c r="I54" s="2"/>
      <c r="J54" s="1" t="s">
        <v>331</v>
      </c>
      <c r="K54" s="43"/>
      <c r="L54" s="21"/>
      <c r="M54" s="43"/>
      <c r="N54" s="21"/>
      <c r="P54" s="1" t="s">
        <v>332</v>
      </c>
      <c r="Q54" s="35"/>
      <c r="R54" s="35"/>
      <c r="S54" s="35"/>
      <c r="T54" s="35"/>
      <c r="U54" s="17"/>
      <c r="V54" s="1" t="s">
        <v>333</v>
      </c>
      <c r="W54" s="35"/>
      <c r="X54" s="35"/>
      <c r="Y54" s="35"/>
      <c r="Z54" s="35"/>
      <c r="AA54" s="17"/>
      <c r="AB54" s="1" t="s">
        <v>334</v>
      </c>
      <c r="AC54" s="101"/>
      <c r="AD54" s="21"/>
      <c r="AE54" s="101"/>
      <c r="AF54" s="21"/>
      <c r="AG54" s="17"/>
      <c r="AH54" s="1" t="s">
        <v>335</v>
      </c>
      <c r="AI54" s="35"/>
      <c r="AJ54" s="35"/>
      <c r="AK54" s="35"/>
      <c r="AL54" s="35"/>
      <c r="AM54" s="17"/>
      <c r="AN54" s="1" t="s">
        <v>336</v>
      </c>
      <c r="AO54" s="43"/>
      <c r="AP54" s="21"/>
      <c r="AQ54" s="43"/>
      <c r="AR54" s="21"/>
      <c r="AS54" s="17"/>
      <c r="AT54" s="1" t="s">
        <v>337</v>
      </c>
      <c r="AU54" s="14"/>
      <c r="AV54" s="14"/>
      <c r="AW54" s="14"/>
      <c r="AX54" s="14"/>
      <c r="AY54" s="17"/>
      <c r="AZ54" s="4" t="s">
        <v>338</v>
      </c>
      <c r="BA54" s="28"/>
      <c r="BB54" s="21"/>
      <c r="BC54" s="28"/>
      <c r="BD54" s="21"/>
      <c r="BE54" s="17"/>
      <c r="BK54" s="17"/>
    </row>
    <row r="55" ht="9.0" customHeight="1">
      <c r="D55" s="1" t="s">
        <v>339</v>
      </c>
      <c r="E55" s="35"/>
      <c r="F55" s="35"/>
      <c r="G55" s="35"/>
      <c r="H55" s="35"/>
      <c r="I55" s="2"/>
      <c r="J55" s="1" t="s">
        <v>340</v>
      </c>
      <c r="K55" s="35"/>
      <c r="L55" s="35"/>
      <c r="M55" s="35"/>
      <c r="N55" s="35"/>
      <c r="P55" s="1" t="s">
        <v>341</v>
      </c>
      <c r="Q55" s="43"/>
      <c r="R55" s="21"/>
      <c r="S55" s="43"/>
      <c r="T55" s="21"/>
      <c r="U55" s="17"/>
      <c r="V55" s="1" t="s">
        <v>342</v>
      </c>
      <c r="W55" s="35"/>
      <c r="X55" s="35"/>
      <c r="Y55" s="35"/>
      <c r="Z55" s="35"/>
      <c r="AA55" s="17"/>
      <c r="AB55" s="1" t="s">
        <v>343</v>
      </c>
      <c r="AC55" s="101"/>
      <c r="AD55" s="21"/>
      <c r="AE55" s="101"/>
      <c r="AF55" s="21"/>
      <c r="AG55" s="97"/>
      <c r="AH55" s="1" t="s">
        <v>344</v>
      </c>
      <c r="AI55" s="35"/>
      <c r="AJ55" s="35"/>
      <c r="AK55" s="35"/>
      <c r="AL55" s="35"/>
      <c r="AM55" s="17"/>
      <c r="AN55" s="1" t="s">
        <v>345</v>
      </c>
      <c r="AO55" s="35"/>
      <c r="AP55" s="35"/>
      <c r="AQ55" s="35"/>
      <c r="AR55" s="35"/>
      <c r="AS55" s="17"/>
      <c r="AT55" s="1" t="s">
        <v>346</v>
      </c>
      <c r="AU55" s="14"/>
      <c r="AV55" s="14"/>
      <c r="AW55" s="14"/>
      <c r="AX55" s="14"/>
      <c r="AY55" s="17"/>
      <c r="AZ55" s="4" t="s">
        <v>347</v>
      </c>
      <c r="BA55" s="14"/>
      <c r="BB55" s="14"/>
      <c r="BC55" s="14"/>
      <c r="BD55" s="14"/>
      <c r="BE55" s="17"/>
      <c r="BK55" s="17"/>
    </row>
    <row r="56" ht="9.0" customHeight="1">
      <c r="D56" s="1" t="s">
        <v>348</v>
      </c>
      <c r="E56" s="43"/>
      <c r="F56" s="21"/>
      <c r="G56" s="43"/>
      <c r="H56" s="21"/>
      <c r="I56" s="2"/>
      <c r="J56" s="1" t="s">
        <v>349</v>
      </c>
      <c r="K56" s="43"/>
      <c r="L56" s="21"/>
      <c r="M56" s="43"/>
      <c r="N56" s="21"/>
      <c r="P56" s="1" t="s">
        <v>350</v>
      </c>
      <c r="Q56" s="43"/>
      <c r="R56" s="21"/>
      <c r="S56" s="43"/>
      <c r="T56" s="21"/>
      <c r="U56" s="17"/>
      <c r="V56" s="1" t="s">
        <v>351</v>
      </c>
      <c r="W56" s="35"/>
      <c r="X56" s="35"/>
      <c r="Y56" s="35"/>
      <c r="Z56" s="35"/>
      <c r="AA56" s="17"/>
      <c r="AB56" s="1" t="s">
        <v>352</v>
      </c>
      <c r="AC56" s="101"/>
      <c r="AD56" s="21"/>
      <c r="AE56" s="101"/>
      <c r="AF56" s="21"/>
      <c r="AG56" s="97"/>
      <c r="AH56" s="1" t="s">
        <v>353</v>
      </c>
      <c r="AI56" s="35"/>
      <c r="AJ56" s="35"/>
      <c r="AK56" s="35"/>
      <c r="AL56" s="35"/>
      <c r="AM56" s="17"/>
      <c r="AN56" s="1" t="s">
        <v>354</v>
      </c>
      <c r="AO56" s="35"/>
      <c r="AP56" s="35"/>
      <c r="AQ56" s="35"/>
      <c r="AR56" s="35"/>
      <c r="AS56" s="17"/>
      <c r="AT56" s="1" t="s">
        <v>355</v>
      </c>
      <c r="AU56" s="14"/>
      <c r="AV56" s="14"/>
      <c r="AW56" s="14"/>
      <c r="AX56" s="14"/>
      <c r="AY56" s="17"/>
      <c r="AZ56" s="4" t="s">
        <v>356</v>
      </c>
      <c r="BA56" s="102"/>
      <c r="BB56" s="102"/>
      <c r="BC56" s="102"/>
      <c r="BD56" s="102"/>
      <c r="BE56" s="17"/>
    </row>
    <row r="57" ht="9.0" customHeight="1">
      <c r="D57" s="1" t="s">
        <v>357</v>
      </c>
      <c r="E57" s="35"/>
      <c r="F57" s="35"/>
      <c r="G57" s="35"/>
      <c r="H57" s="35"/>
      <c r="I57" s="2"/>
      <c r="J57" s="1" t="s">
        <v>358</v>
      </c>
      <c r="K57" s="35"/>
      <c r="L57" s="35"/>
      <c r="M57" s="35"/>
      <c r="N57" s="35"/>
      <c r="P57" s="1" t="s">
        <v>359</v>
      </c>
      <c r="Q57" s="43"/>
      <c r="R57" s="21"/>
      <c r="S57" s="43"/>
      <c r="T57" s="21"/>
      <c r="U57" s="17"/>
      <c r="V57" s="1" t="s">
        <v>360</v>
      </c>
      <c r="W57" s="35"/>
      <c r="X57" s="35"/>
      <c r="Y57" s="35"/>
      <c r="Z57" s="35"/>
      <c r="AA57" s="17"/>
      <c r="AB57" s="1" t="s">
        <v>361</v>
      </c>
      <c r="AC57" s="35"/>
      <c r="AD57" s="35"/>
      <c r="AE57" s="35"/>
      <c r="AF57" s="35"/>
      <c r="AG57" s="103"/>
      <c r="AH57" s="1" t="s">
        <v>362</v>
      </c>
      <c r="AI57" s="35"/>
      <c r="AJ57" s="35"/>
      <c r="AK57" s="35"/>
      <c r="AL57" s="35"/>
      <c r="AM57" s="17"/>
      <c r="AN57" s="1" t="s">
        <v>363</v>
      </c>
      <c r="AO57" s="35"/>
      <c r="AP57" s="35"/>
      <c r="AQ57" s="35"/>
      <c r="AR57" s="35"/>
      <c r="AS57" s="44"/>
      <c r="AT57" s="1" t="s">
        <v>364</v>
      </c>
      <c r="AU57" s="35"/>
      <c r="AV57" s="35"/>
      <c r="AW57" s="14"/>
      <c r="AX57" s="14"/>
      <c r="AY57" s="17"/>
      <c r="AZ57" s="4" t="s">
        <v>365</v>
      </c>
      <c r="BA57" s="102"/>
      <c r="BB57" s="102"/>
      <c r="BC57" s="102"/>
      <c r="BD57" s="102"/>
      <c r="BE57" s="17"/>
      <c r="BH57" s="17" t="s">
        <v>366</v>
      </c>
      <c r="BL57" s="17" t="s">
        <v>367</v>
      </c>
    </row>
    <row r="58" ht="9.0" customHeight="1">
      <c r="D58" s="1" t="s">
        <v>368</v>
      </c>
      <c r="E58" s="28"/>
      <c r="F58" s="21"/>
      <c r="G58" s="28"/>
      <c r="H58" s="21"/>
      <c r="I58" s="2"/>
      <c r="J58" s="1" t="s">
        <v>369</v>
      </c>
      <c r="K58" s="35"/>
      <c r="L58" s="35"/>
      <c r="M58" s="35"/>
      <c r="N58" s="35"/>
      <c r="P58" s="1" t="s">
        <v>370</v>
      </c>
      <c r="Q58" s="35"/>
      <c r="R58" s="35"/>
      <c r="S58" s="35"/>
      <c r="T58" s="35"/>
      <c r="U58" s="17"/>
      <c r="V58" s="1" t="s">
        <v>371</v>
      </c>
      <c r="W58" s="35"/>
      <c r="X58" s="35"/>
      <c r="Y58" s="35"/>
      <c r="Z58" s="35"/>
      <c r="AA58" s="17"/>
      <c r="AB58" s="1" t="s">
        <v>372</v>
      </c>
      <c r="AC58" s="43"/>
      <c r="AD58" s="21"/>
      <c r="AE58" s="43"/>
      <c r="AF58" s="21"/>
      <c r="AG58" s="26"/>
      <c r="AH58" s="1" t="s">
        <v>373</v>
      </c>
      <c r="AI58" s="35"/>
      <c r="AJ58" s="35"/>
      <c r="AK58" s="35"/>
      <c r="AL58" s="35"/>
      <c r="AM58" s="17"/>
      <c r="AN58" s="1" t="s">
        <v>374</v>
      </c>
      <c r="AO58" s="35"/>
      <c r="AP58" s="35"/>
      <c r="AQ58" s="35"/>
      <c r="AR58" s="35"/>
      <c r="AS58" s="17"/>
      <c r="AT58" s="1" t="s">
        <v>375</v>
      </c>
      <c r="AU58" s="35"/>
      <c r="AV58" s="35"/>
      <c r="AW58" s="14"/>
      <c r="AX58" s="14"/>
      <c r="AY58" s="17"/>
      <c r="AZ58" s="4" t="s">
        <v>376</v>
      </c>
      <c r="BA58" s="35"/>
      <c r="BB58" s="35"/>
      <c r="BC58" s="35"/>
      <c r="BD58" s="35"/>
      <c r="BE58" s="17"/>
      <c r="BH58" s="65" t="s">
        <v>377</v>
      </c>
      <c r="BI58" s="104">
        <f>DAYS(I8,I11)</f>
        <v>0</v>
      </c>
    </row>
    <row r="59" ht="9.0" customHeight="1">
      <c r="D59" s="1" t="s">
        <v>378</v>
      </c>
      <c r="E59" s="28"/>
      <c r="F59" s="21"/>
      <c r="G59" s="28"/>
      <c r="H59" s="21"/>
      <c r="I59" s="2"/>
      <c r="J59" s="1" t="s">
        <v>379</v>
      </c>
      <c r="K59" s="35"/>
      <c r="L59" s="35"/>
      <c r="M59" s="35"/>
      <c r="N59" s="35"/>
      <c r="P59" s="1" t="s">
        <v>380</v>
      </c>
      <c r="Q59" s="43"/>
      <c r="R59" s="21"/>
      <c r="S59" s="43"/>
      <c r="T59" s="21"/>
      <c r="U59" s="17"/>
      <c r="V59" s="1" t="s">
        <v>381</v>
      </c>
      <c r="W59" s="35"/>
      <c r="X59" s="35"/>
      <c r="Y59" s="35"/>
      <c r="Z59" s="35"/>
      <c r="AA59" s="17"/>
      <c r="AB59" s="1" t="s">
        <v>382</v>
      </c>
      <c r="AC59" s="35"/>
      <c r="AD59" s="35"/>
      <c r="AE59" s="35"/>
      <c r="AF59" s="35"/>
      <c r="AG59" s="26"/>
      <c r="AH59" s="1" t="s">
        <v>383</v>
      </c>
      <c r="AI59" s="43"/>
      <c r="AJ59" s="21"/>
      <c r="AK59" s="43"/>
      <c r="AL59" s="21"/>
      <c r="AM59" s="17"/>
      <c r="AN59" s="1" t="s">
        <v>384</v>
      </c>
      <c r="AO59" s="35"/>
      <c r="AP59" s="35"/>
      <c r="AQ59" s="35"/>
      <c r="AR59" s="35"/>
      <c r="AS59" s="17"/>
      <c r="AT59" s="1" t="s">
        <v>385</v>
      </c>
      <c r="AU59" s="35"/>
      <c r="AV59" s="35"/>
      <c r="AW59" s="14"/>
      <c r="AX59" s="14"/>
      <c r="AY59" s="17"/>
      <c r="AZ59" s="4" t="s">
        <v>386</v>
      </c>
      <c r="BA59" s="35"/>
      <c r="BB59" s="35"/>
      <c r="BC59" s="35"/>
      <c r="BD59" s="35"/>
      <c r="BE59" s="17"/>
      <c r="BH59" s="65" t="s">
        <v>387</v>
      </c>
      <c r="BI59" s="104">
        <f>DAYS(I11,I14)</f>
        <v>0</v>
      </c>
    </row>
    <row r="60" ht="9.0" customHeight="1">
      <c r="D60" s="1"/>
      <c r="E60" s="105">
        <f t="shared" ref="E60:H60" si="1">COUNT(E41:E59)</f>
        <v>0</v>
      </c>
      <c r="F60" s="105">
        <f t="shared" si="1"/>
        <v>0</v>
      </c>
      <c r="G60" s="105">
        <f t="shared" si="1"/>
        <v>0</v>
      </c>
      <c r="H60" s="106">
        <f t="shared" si="1"/>
        <v>0</v>
      </c>
      <c r="J60" s="1"/>
      <c r="K60" s="106">
        <f t="shared" ref="K60:N60" si="2">COUNT(K33:K59)</f>
        <v>0</v>
      </c>
      <c r="L60" s="106">
        <f t="shared" si="2"/>
        <v>0</v>
      </c>
      <c r="M60" s="106">
        <f t="shared" si="2"/>
        <v>0</v>
      </c>
      <c r="N60" s="106">
        <f t="shared" si="2"/>
        <v>0</v>
      </c>
      <c r="O60" s="106"/>
      <c r="P60" s="107"/>
      <c r="Q60" s="106">
        <f t="shared" ref="Q60:T60" si="3">COUNT(Q3:Q59)</f>
        <v>0</v>
      </c>
      <c r="R60" s="106">
        <f t="shared" si="3"/>
        <v>0</v>
      </c>
      <c r="S60" s="106">
        <f t="shared" si="3"/>
        <v>0</v>
      </c>
      <c r="T60" s="106">
        <f t="shared" si="3"/>
        <v>0</v>
      </c>
      <c r="U60" s="106"/>
      <c r="V60" s="107"/>
      <c r="W60" s="106">
        <f t="shared" ref="W60:Z60" si="4">COUNT(W33:W59)</f>
        <v>0</v>
      </c>
      <c r="X60" s="106">
        <f t="shared" si="4"/>
        <v>0</v>
      </c>
      <c r="Y60" s="106">
        <f t="shared" si="4"/>
        <v>0</v>
      </c>
      <c r="Z60" s="106">
        <f t="shared" si="4"/>
        <v>0</v>
      </c>
      <c r="AA60" s="106"/>
      <c r="AB60" s="107"/>
      <c r="AC60" s="106">
        <f t="shared" ref="AC60:AF60" si="5">COUNT(AC40:AC59)</f>
        <v>0</v>
      </c>
      <c r="AD60" s="106">
        <f t="shared" si="5"/>
        <v>0</v>
      </c>
      <c r="AE60" s="106">
        <f t="shared" si="5"/>
        <v>0</v>
      </c>
      <c r="AF60" s="106">
        <f t="shared" si="5"/>
        <v>0</v>
      </c>
      <c r="AG60" s="106"/>
      <c r="AH60" s="107"/>
      <c r="AI60" s="106">
        <f t="shared" ref="AI60:AL60" si="6">COUNT(AI31:AI59)</f>
        <v>0</v>
      </c>
      <c r="AJ60" s="106">
        <f t="shared" si="6"/>
        <v>0</v>
      </c>
      <c r="AK60" s="106">
        <f t="shared" si="6"/>
        <v>0</v>
      </c>
      <c r="AL60" s="106">
        <f t="shared" si="6"/>
        <v>0</v>
      </c>
      <c r="AM60" s="106"/>
      <c r="AN60" s="107"/>
      <c r="AO60" s="106">
        <f t="shared" ref="AO60:AR60" si="7">COUNT(AO13:AO59)</f>
        <v>0</v>
      </c>
      <c r="AP60" s="106">
        <f t="shared" si="7"/>
        <v>0</v>
      </c>
      <c r="AQ60" s="106">
        <f t="shared" si="7"/>
        <v>0</v>
      </c>
      <c r="AR60" s="106">
        <f t="shared" si="7"/>
        <v>0</v>
      </c>
      <c r="AS60" s="106"/>
      <c r="AT60" s="107"/>
      <c r="AU60" s="106">
        <f t="shared" ref="AU60:AX60" si="8">COUNT(AU11:AU59)</f>
        <v>0</v>
      </c>
      <c r="AV60" s="106">
        <f t="shared" si="8"/>
        <v>0</v>
      </c>
      <c r="AW60" s="106">
        <f t="shared" si="8"/>
        <v>0</v>
      </c>
      <c r="AX60" s="106">
        <f t="shared" si="8"/>
        <v>0</v>
      </c>
      <c r="AY60" s="106"/>
      <c r="AZ60" s="108"/>
      <c r="BA60" s="106">
        <f t="shared" ref="BA60:BD60" si="9">COUNT(BA51:BA59)</f>
        <v>0</v>
      </c>
      <c r="BB60" s="106">
        <f t="shared" si="9"/>
        <v>0</v>
      </c>
      <c r="BC60" s="106">
        <f t="shared" si="9"/>
        <v>0</v>
      </c>
      <c r="BD60" s="106">
        <f t="shared" si="9"/>
        <v>0</v>
      </c>
      <c r="BH60" s="65" t="s">
        <v>388</v>
      </c>
      <c r="BI60" s="104">
        <f>DAYS(I14,I17)</f>
        <v>0</v>
      </c>
    </row>
    <row r="61" ht="12.75" customHeight="1">
      <c r="D61" s="1" t="s">
        <v>13</v>
      </c>
      <c r="E61" s="4" t="s">
        <v>389</v>
      </c>
      <c r="J61" s="1" t="s">
        <v>14</v>
      </c>
      <c r="K61" s="4" t="s">
        <v>390</v>
      </c>
      <c r="P61" s="1" t="s">
        <v>15</v>
      </c>
      <c r="Q61" s="4" t="s">
        <v>391</v>
      </c>
      <c r="V61" s="1" t="s">
        <v>16</v>
      </c>
      <c r="W61" s="4" t="s">
        <v>392</v>
      </c>
      <c r="AB61" s="1" t="s">
        <v>17</v>
      </c>
      <c r="AC61" s="4" t="s">
        <v>393</v>
      </c>
      <c r="AH61" s="1" t="s">
        <v>18</v>
      </c>
      <c r="AI61" s="4" t="s">
        <v>214</v>
      </c>
      <c r="AN61" s="1" t="s">
        <v>19</v>
      </c>
      <c r="AO61" s="4" t="s">
        <v>224</v>
      </c>
      <c r="AT61" s="1" t="s">
        <v>20</v>
      </c>
      <c r="AU61" s="4" t="s">
        <v>234</v>
      </c>
      <c r="AZ61" s="4" t="s">
        <v>21</v>
      </c>
      <c r="BA61" s="4" t="s">
        <v>394</v>
      </c>
      <c r="BH61" s="65" t="s">
        <v>395</v>
      </c>
      <c r="BI61" s="104">
        <f>DAYS(I17,I20)</f>
        <v>0</v>
      </c>
    </row>
    <row r="62" ht="12.75" customHeight="1">
      <c r="D62" s="1"/>
      <c r="E62" s="4" t="s">
        <v>396</v>
      </c>
      <c r="J62" s="1"/>
      <c r="K62" s="4" t="s">
        <v>397</v>
      </c>
      <c r="P62" s="1"/>
      <c r="Q62" s="4" t="s">
        <v>398</v>
      </c>
      <c r="V62" s="1"/>
      <c r="W62" s="4"/>
      <c r="AB62" s="1"/>
      <c r="AC62" s="4" t="s">
        <v>392</v>
      </c>
      <c r="AH62" s="1"/>
      <c r="AI62" s="4"/>
      <c r="AN62" s="1"/>
      <c r="AO62" s="4"/>
      <c r="AT62" s="1"/>
      <c r="AZ62" s="4"/>
      <c r="BA62" s="4" t="s">
        <v>399</v>
      </c>
      <c r="BH62" s="65" t="s">
        <v>400</v>
      </c>
      <c r="BI62" s="104">
        <f>DAYS(I20,I23)</f>
        <v>0</v>
      </c>
    </row>
    <row r="63" ht="12.75" customHeight="1">
      <c r="D63" s="1"/>
      <c r="E63" s="4" t="s">
        <v>401</v>
      </c>
      <c r="J63" s="1"/>
      <c r="P63" s="1"/>
      <c r="V63" s="1"/>
      <c r="AB63" s="1"/>
      <c r="AH63" s="1"/>
      <c r="AN63" s="1"/>
      <c r="AT63" s="1"/>
      <c r="AZ63" s="4"/>
      <c r="BQ63" s="109" t="s">
        <v>402</v>
      </c>
    </row>
    <row r="64" ht="12.75" customHeight="1">
      <c r="D64" s="1"/>
      <c r="J64" s="1"/>
      <c r="P64" s="1"/>
      <c r="V64" s="1"/>
      <c r="AB64" s="1"/>
      <c r="AH64" s="1"/>
      <c r="AN64" s="1"/>
      <c r="AT64" s="1"/>
      <c r="AZ64" s="4"/>
    </row>
    <row r="65" ht="12.75" customHeight="1">
      <c r="B65" s="2"/>
      <c r="C65" s="2"/>
      <c r="D65" s="1"/>
      <c r="E65" s="2"/>
      <c r="F65" s="2"/>
      <c r="G65" s="2"/>
      <c r="H65" s="2"/>
      <c r="I65" s="2"/>
      <c r="J65" s="1"/>
      <c r="K65" s="2"/>
      <c r="L65" s="2"/>
      <c r="M65" s="2"/>
      <c r="N65" s="2"/>
      <c r="P65" s="1"/>
      <c r="U65" s="3" t="s">
        <v>0</v>
      </c>
      <c r="AT65" s="1"/>
      <c r="AZ65" s="4"/>
    </row>
    <row r="66" ht="12.75" customHeight="1">
      <c r="A66" s="8"/>
      <c r="B66" s="9"/>
      <c r="C66" s="9"/>
      <c r="D66" s="10"/>
      <c r="E66" s="10"/>
      <c r="F66" s="10"/>
      <c r="G66" s="9"/>
      <c r="H66" s="11"/>
      <c r="I66" s="11"/>
      <c r="J66" s="11"/>
      <c r="K66" s="11"/>
      <c r="L66" s="11"/>
      <c r="M66" s="11"/>
      <c r="N66" s="110"/>
      <c r="O66" s="111"/>
      <c r="P66" s="1"/>
      <c r="U66" s="3" t="s">
        <v>1</v>
      </c>
      <c r="AT66" s="1"/>
      <c r="AZ66" s="4"/>
    </row>
    <row r="67" ht="9.0" customHeight="1">
      <c r="A67" s="16"/>
      <c r="B67" s="17" t="s">
        <v>3</v>
      </c>
      <c r="C67" s="17"/>
      <c r="D67" s="18"/>
      <c r="E67" s="18"/>
      <c r="F67" s="19" t="str">
        <f>F4</f>
        <v/>
      </c>
      <c r="G67" s="20"/>
      <c r="H67" s="20"/>
      <c r="I67" s="20"/>
      <c r="J67" s="20"/>
      <c r="K67" s="20"/>
      <c r="L67" s="20"/>
      <c r="M67" s="21"/>
      <c r="N67" s="22"/>
      <c r="O67" s="23"/>
      <c r="P67" s="1"/>
      <c r="V67" s="1"/>
      <c r="AB67" s="1"/>
      <c r="AH67" s="1"/>
      <c r="AN67" s="1"/>
      <c r="AT67" s="1"/>
      <c r="AZ67" s="4"/>
    </row>
    <row r="68" ht="9.0" customHeight="1">
      <c r="A68" s="16"/>
      <c r="B68" s="17"/>
      <c r="C68" s="25"/>
      <c r="D68" s="25"/>
      <c r="E68" s="25"/>
      <c r="F68" s="25"/>
      <c r="G68" s="25"/>
      <c r="H68" s="25"/>
      <c r="I68" s="25"/>
      <c r="J68" s="17"/>
      <c r="K68" s="26"/>
      <c r="L68" s="26"/>
      <c r="M68" s="17"/>
      <c r="N68" s="27"/>
      <c r="O68" s="23"/>
      <c r="P68" s="1"/>
      <c r="V68" s="1"/>
      <c r="AB68" s="1"/>
      <c r="AH68" s="1"/>
      <c r="AN68" s="1"/>
      <c r="AT68" s="1"/>
      <c r="AZ68" s="4"/>
    </row>
    <row r="69" ht="9.0" customHeight="1">
      <c r="A69" s="16"/>
      <c r="B69" s="2"/>
      <c r="C69" s="2"/>
      <c r="D69" s="1"/>
      <c r="E69" s="2"/>
      <c r="F69" s="2"/>
      <c r="G69" s="2"/>
      <c r="H69" s="2"/>
      <c r="I69" s="2"/>
      <c r="J69" s="1"/>
      <c r="K69" s="2"/>
      <c r="L69" s="2"/>
      <c r="M69" s="2"/>
      <c r="N69" s="33" t="s">
        <v>7</v>
      </c>
      <c r="O69" s="34"/>
      <c r="P69" s="1"/>
      <c r="V69" s="1"/>
      <c r="AB69" s="1"/>
      <c r="AH69" s="1"/>
      <c r="AN69" s="1"/>
      <c r="AT69" s="1"/>
      <c r="AZ69" s="4"/>
    </row>
    <row r="70" ht="9.0" customHeight="1">
      <c r="A70" s="16"/>
      <c r="B70" s="17" t="s">
        <v>38</v>
      </c>
      <c r="C70" s="17"/>
      <c r="D70" s="25"/>
      <c r="E70" s="25"/>
      <c r="F70" s="25"/>
      <c r="G70" s="25"/>
      <c r="H70" s="25"/>
      <c r="I70" s="25" t="s">
        <v>10</v>
      </c>
      <c r="J70" s="25"/>
      <c r="K70" s="17"/>
      <c r="L70" s="17" t="s">
        <v>9</v>
      </c>
      <c r="M70" s="17"/>
      <c r="N70" s="27"/>
      <c r="O70" s="42" t="s">
        <v>39</v>
      </c>
      <c r="P70" s="1"/>
      <c r="V70" s="1"/>
      <c r="AB70" s="1"/>
      <c r="AH70" s="1"/>
      <c r="AN70" s="1"/>
      <c r="AT70" s="1"/>
      <c r="AZ70" s="4"/>
      <c r="BF70" s="2"/>
    </row>
    <row r="71" ht="9.0" customHeight="1">
      <c r="A71" s="16"/>
      <c r="B71" s="54" t="str">
        <f>B8</f>
        <v/>
      </c>
      <c r="C71" s="20"/>
      <c r="D71" s="20"/>
      <c r="E71" s="20"/>
      <c r="F71" s="20"/>
      <c r="G71" s="21"/>
      <c r="H71" s="25"/>
      <c r="I71" s="112" t="str">
        <f>I8</f>
        <v/>
      </c>
      <c r="J71" s="21"/>
      <c r="K71" s="56"/>
      <c r="L71" s="57">
        <v>1.0</v>
      </c>
      <c r="M71" s="58"/>
      <c r="N71" s="45"/>
      <c r="O71" s="113">
        <f>countif(E100:H119,1)+countif(K105:N119,1)+countif(Q86:T119,1)+countif(W108:Z119,1)+countif(AC110:AF119,1)+countif(AI114:AL119,1)+countif(AO103:AR119,1)+countif(AU91:AX119,1)</f>
        <v>0</v>
      </c>
      <c r="P71" s="1"/>
      <c r="V71" s="1"/>
      <c r="AB71" s="1"/>
      <c r="AH71" s="1"/>
      <c r="AN71" s="1"/>
      <c r="AT71" s="1"/>
      <c r="AZ71" s="4"/>
    </row>
    <row r="72" ht="9.0" customHeight="1">
      <c r="A72" s="16"/>
      <c r="B72" s="17"/>
      <c r="C72" s="17"/>
      <c r="D72" s="25"/>
      <c r="E72" s="25"/>
      <c r="F72" s="25"/>
      <c r="G72" s="25"/>
      <c r="H72" s="25"/>
      <c r="I72" s="25"/>
      <c r="J72" s="25"/>
      <c r="K72" s="17"/>
      <c r="L72" s="17"/>
      <c r="M72" s="17"/>
      <c r="N72" s="27"/>
      <c r="O72" s="23"/>
      <c r="P72" s="1"/>
      <c r="V72" s="1"/>
      <c r="AB72" s="1"/>
      <c r="AH72" s="1"/>
      <c r="AN72" s="1"/>
      <c r="AT72" s="1"/>
      <c r="AZ72" s="4"/>
    </row>
    <row r="73" ht="9.0" customHeight="1">
      <c r="A73" s="16"/>
      <c r="B73" s="17" t="s">
        <v>38</v>
      </c>
      <c r="C73" s="17"/>
      <c r="D73" s="25"/>
      <c r="E73" s="25"/>
      <c r="F73" s="25"/>
      <c r="G73" s="25"/>
      <c r="H73" s="25"/>
      <c r="I73" s="25" t="s">
        <v>10</v>
      </c>
      <c r="J73" s="25"/>
      <c r="K73" s="17"/>
      <c r="L73" s="17" t="s">
        <v>9</v>
      </c>
      <c r="M73" s="17"/>
      <c r="N73" s="27"/>
      <c r="O73" s="60"/>
      <c r="P73" s="1"/>
      <c r="V73" s="1"/>
      <c r="AB73" s="1"/>
      <c r="AH73" s="1"/>
      <c r="AN73" s="1"/>
      <c r="AT73" s="1"/>
      <c r="AZ73" s="4"/>
    </row>
    <row r="74" ht="9.0" customHeight="1">
      <c r="A74" s="16"/>
      <c r="B74" s="54" t="str">
        <f>B11</f>
        <v/>
      </c>
      <c r="C74" s="20"/>
      <c r="D74" s="20"/>
      <c r="E74" s="20"/>
      <c r="F74" s="20"/>
      <c r="G74" s="21"/>
      <c r="H74" s="25"/>
      <c r="I74" s="112" t="str">
        <f>I11</f>
        <v/>
      </c>
      <c r="J74" s="21"/>
      <c r="K74" s="56"/>
      <c r="L74" s="57">
        <v>2.0</v>
      </c>
      <c r="M74" s="62"/>
      <c r="N74" s="45"/>
      <c r="O74" s="114">
        <f>countif(E100:H119,2)+countif(K105:N119,2)+countif(Q86:T119,2)+countif(W108:Z119,2)+countif(AC110:AF119,2)+countif(AI114:AL119,2)+countif(AO103:AR119,2)+countif(AU91:AX119,2)+O71</f>
        <v>0</v>
      </c>
      <c r="P74" s="1"/>
      <c r="Q74" s="4"/>
      <c r="R74" s="4"/>
      <c r="S74" s="4"/>
      <c r="T74" s="4"/>
      <c r="U74" s="4"/>
      <c r="V74" s="1"/>
      <c r="W74" s="4"/>
      <c r="X74" s="4"/>
      <c r="Y74" s="4"/>
      <c r="Z74" s="4"/>
      <c r="AA74" s="4"/>
      <c r="AB74" s="1"/>
      <c r="AC74" s="4"/>
      <c r="AD74" s="4"/>
      <c r="AE74" s="4"/>
      <c r="AF74" s="4"/>
      <c r="AG74" s="4"/>
      <c r="AH74" s="1"/>
      <c r="AI74" s="4"/>
      <c r="AJ74" s="4"/>
      <c r="AK74" s="4"/>
      <c r="AL74" s="4"/>
      <c r="AM74" s="4"/>
      <c r="AN74" s="1"/>
      <c r="AO74" s="4"/>
      <c r="AP74" s="4"/>
      <c r="AQ74" s="4"/>
      <c r="AR74" s="4"/>
      <c r="AS74" s="4"/>
      <c r="AT74" s="1"/>
      <c r="AU74" s="4"/>
      <c r="AV74" s="4"/>
      <c r="AW74" s="4"/>
      <c r="AX74" s="4"/>
      <c r="AY74" s="4"/>
      <c r="AZ74" s="4"/>
      <c r="BA74" s="4"/>
      <c r="BB74" s="4"/>
      <c r="BC74" s="4"/>
      <c r="BD74" s="4"/>
      <c r="BE74" s="4"/>
    </row>
    <row r="75" ht="9.0" customHeight="1">
      <c r="A75" s="16"/>
      <c r="B75" s="17"/>
      <c r="C75" s="17"/>
      <c r="D75" s="25"/>
      <c r="G75" s="17"/>
      <c r="H75" s="64"/>
      <c r="J75" s="65"/>
      <c r="K75" s="56"/>
      <c r="L75" s="56"/>
      <c r="M75" s="17"/>
      <c r="N75" s="27"/>
      <c r="O75" s="23"/>
      <c r="P75" s="1"/>
      <c r="Q75" s="4"/>
      <c r="R75" s="4"/>
      <c r="S75" s="4"/>
      <c r="T75" s="4"/>
      <c r="U75" s="4"/>
      <c r="V75" s="1"/>
      <c r="W75" s="4"/>
      <c r="X75" s="4"/>
      <c r="Y75" s="4"/>
      <c r="Z75" s="4"/>
      <c r="AA75" s="4"/>
      <c r="AB75" s="1"/>
      <c r="AC75" s="4"/>
      <c r="AD75" s="4"/>
      <c r="AE75" s="4"/>
      <c r="AF75" s="4"/>
      <c r="AG75" s="4"/>
      <c r="AH75" s="1"/>
      <c r="AI75" s="4"/>
      <c r="AJ75" s="4"/>
      <c r="AK75" s="4"/>
      <c r="AL75" s="4"/>
      <c r="AM75" s="4"/>
      <c r="AN75" s="1"/>
      <c r="AO75" s="4"/>
      <c r="AP75" s="4"/>
      <c r="AQ75" s="4"/>
      <c r="AR75" s="4"/>
      <c r="AS75" s="4"/>
      <c r="AT75" s="1"/>
      <c r="AU75" s="4"/>
      <c r="AV75" s="4"/>
      <c r="AW75" s="4"/>
      <c r="AX75" s="4"/>
      <c r="AY75" s="4"/>
      <c r="AZ75" s="4"/>
      <c r="BA75" s="4"/>
      <c r="BB75" s="4"/>
      <c r="BC75" s="4"/>
      <c r="BD75" s="4"/>
      <c r="BE75" s="4"/>
    </row>
    <row r="76" ht="9.0" customHeight="1">
      <c r="A76" s="16"/>
      <c r="B76" s="17" t="s">
        <v>38</v>
      </c>
      <c r="C76" s="17"/>
      <c r="D76" s="25"/>
      <c r="E76" s="25"/>
      <c r="F76" s="25"/>
      <c r="G76" s="25"/>
      <c r="H76" s="25"/>
      <c r="I76" s="25" t="s">
        <v>10</v>
      </c>
      <c r="J76" s="25"/>
      <c r="K76" s="17"/>
      <c r="L76" s="17" t="s">
        <v>9</v>
      </c>
      <c r="M76" s="17"/>
      <c r="N76" s="27"/>
      <c r="O76" s="60"/>
      <c r="P76" s="1"/>
      <c r="Q76" s="4"/>
      <c r="R76" s="4"/>
      <c r="S76" s="4"/>
      <c r="T76" s="4"/>
      <c r="U76" s="4"/>
      <c r="V76" s="1"/>
      <c r="W76" s="4"/>
      <c r="X76" s="4"/>
      <c r="Y76" s="4"/>
      <c r="Z76" s="4"/>
      <c r="AA76" s="4"/>
      <c r="AB76" s="1"/>
      <c r="AC76" s="4"/>
      <c r="AD76" s="4"/>
      <c r="AE76" s="4"/>
      <c r="AF76" s="4"/>
      <c r="AG76" s="4"/>
      <c r="AH76" s="1"/>
      <c r="AI76" s="4"/>
      <c r="AJ76" s="4"/>
      <c r="AK76" s="4"/>
      <c r="AL76" s="4"/>
      <c r="AM76" s="4"/>
      <c r="AN76" s="1"/>
      <c r="AO76" s="4"/>
      <c r="AP76" s="4"/>
      <c r="AQ76" s="4"/>
      <c r="AR76" s="4"/>
      <c r="AS76" s="4"/>
      <c r="AT76" s="1"/>
      <c r="AU76" s="4"/>
      <c r="AV76" s="4"/>
      <c r="AW76" s="4"/>
      <c r="AX76" s="4"/>
      <c r="AY76" s="4"/>
      <c r="AZ76" s="4"/>
      <c r="BA76" s="4"/>
      <c r="BB76" s="4"/>
      <c r="BC76" s="4"/>
      <c r="BD76" s="4"/>
      <c r="BE76" s="4"/>
    </row>
    <row r="77" ht="9.0" customHeight="1">
      <c r="A77" s="16"/>
      <c r="B77" s="54" t="str">
        <f>B14</f>
        <v/>
      </c>
      <c r="C77" s="20"/>
      <c r="D77" s="20"/>
      <c r="E77" s="20"/>
      <c r="F77" s="20"/>
      <c r="G77" s="21"/>
      <c r="H77" s="25"/>
      <c r="I77" s="112" t="str">
        <f>I14</f>
        <v/>
      </c>
      <c r="J77" s="21"/>
      <c r="K77" s="56"/>
      <c r="L77" s="57">
        <v>3.0</v>
      </c>
      <c r="M77" s="68"/>
      <c r="N77" s="45"/>
      <c r="O77" s="59">
        <f>countif(E100:H119,3)+countif(K105:N119,3)+countif(Q86:T119,3)+countif(W108:Z119,3)+countif(AC110:AF119,3)+countif(AI114:AL119,3)+countif(AO103:AR119,3)+countif(AU91:AX119,3)+O74</f>
        <v>0</v>
      </c>
      <c r="P77" s="1"/>
      <c r="Q77" s="4"/>
      <c r="R77" s="4"/>
      <c r="S77" s="4"/>
      <c r="T77" s="4"/>
      <c r="U77" s="4"/>
      <c r="V77" s="1"/>
      <c r="W77" s="4"/>
      <c r="X77" s="4"/>
      <c r="Y77" s="4"/>
      <c r="Z77" s="4"/>
      <c r="AA77" s="4"/>
      <c r="AB77" s="1"/>
      <c r="AC77" s="4"/>
      <c r="AD77" s="4"/>
      <c r="AE77" s="4"/>
      <c r="AF77" s="4"/>
      <c r="AG77" s="4"/>
      <c r="AH77" s="1"/>
      <c r="AI77" s="4"/>
      <c r="AJ77" s="4"/>
      <c r="AK77" s="4"/>
      <c r="AL77" s="4"/>
      <c r="AM77" s="4"/>
      <c r="AN77" s="1"/>
      <c r="AO77" s="4"/>
      <c r="AP77" s="4"/>
      <c r="AQ77" s="4"/>
      <c r="AR77" s="4"/>
      <c r="AS77" s="4"/>
      <c r="AT77" s="1"/>
      <c r="AU77" s="4"/>
      <c r="AV77" s="4"/>
      <c r="AW77" s="4"/>
      <c r="AX77" s="4"/>
      <c r="AY77" s="4"/>
      <c r="AZ77" s="4"/>
      <c r="BA77" s="4"/>
      <c r="BB77" s="4"/>
      <c r="BC77" s="4"/>
      <c r="BD77" s="4"/>
      <c r="BE77" s="4"/>
    </row>
    <row r="78" ht="9.0" customHeight="1">
      <c r="A78" s="16"/>
      <c r="B78" s="17"/>
      <c r="C78" s="17"/>
      <c r="D78" s="69"/>
      <c r="N78" s="27"/>
      <c r="O78" s="23"/>
      <c r="P78" s="1"/>
      <c r="Q78" s="4"/>
      <c r="R78" s="4"/>
      <c r="S78" s="4"/>
      <c r="T78" s="4"/>
      <c r="U78" s="4"/>
      <c r="V78" s="1"/>
      <c r="W78" s="4"/>
      <c r="X78" s="4"/>
      <c r="Y78" s="4"/>
      <c r="Z78" s="4"/>
      <c r="AA78" s="4"/>
      <c r="AB78" s="1"/>
      <c r="AC78" s="4"/>
      <c r="AD78" s="4"/>
      <c r="AE78" s="4"/>
      <c r="AF78" s="4"/>
      <c r="AG78" s="4"/>
      <c r="AH78" s="1"/>
      <c r="AI78" s="4"/>
      <c r="AJ78" s="4"/>
      <c r="AK78" s="4"/>
      <c r="AL78" s="4"/>
      <c r="AM78" s="4"/>
      <c r="AN78" s="1"/>
      <c r="AO78" s="4"/>
      <c r="AP78" s="4"/>
      <c r="AQ78" s="4"/>
      <c r="AR78" s="4"/>
      <c r="AS78" s="4"/>
      <c r="AT78" s="1"/>
      <c r="AU78" s="4"/>
      <c r="AV78" s="4"/>
      <c r="AW78" s="4"/>
      <c r="AX78" s="4"/>
      <c r="AY78" s="4"/>
      <c r="AZ78" s="4"/>
      <c r="BA78" s="4"/>
      <c r="BB78" s="4"/>
      <c r="BC78" s="4"/>
      <c r="BD78" s="4"/>
      <c r="BE78" s="4"/>
    </row>
    <row r="79" ht="9.0" customHeight="1">
      <c r="A79" s="16"/>
      <c r="B79" s="17" t="s">
        <v>38</v>
      </c>
      <c r="C79" s="17"/>
      <c r="D79" s="25"/>
      <c r="E79" s="25"/>
      <c r="F79" s="25"/>
      <c r="G79" s="25"/>
      <c r="H79" s="25"/>
      <c r="I79" s="25" t="s">
        <v>10</v>
      </c>
      <c r="J79" s="25"/>
      <c r="K79" s="17"/>
      <c r="L79" s="17" t="s">
        <v>9</v>
      </c>
      <c r="M79" s="17"/>
      <c r="N79" s="27"/>
      <c r="O79" s="60"/>
      <c r="P79" s="1"/>
      <c r="Q79" s="4"/>
      <c r="R79" s="4"/>
      <c r="S79" s="4"/>
      <c r="T79" s="4"/>
      <c r="U79" s="4"/>
      <c r="V79" s="1"/>
      <c r="W79" s="4"/>
      <c r="X79" s="4"/>
      <c r="Y79" s="4"/>
      <c r="Z79" s="4"/>
      <c r="AA79" s="4"/>
      <c r="AB79" s="1"/>
      <c r="AC79" s="4"/>
      <c r="AD79" s="4"/>
      <c r="AE79" s="4"/>
      <c r="AF79" s="4"/>
      <c r="AG79" s="4"/>
      <c r="AH79" s="1"/>
      <c r="AI79" s="4"/>
      <c r="AJ79" s="4"/>
      <c r="AK79" s="4"/>
      <c r="AL79" s="4"/>
      <c r="AM79" s="4"/>
      <c r="AN79" s="1"/>
      <c r="AO79" s="4"/>
      <c r="AP79" s="4"/>
      <c r="AQ79" s="4"/>
      <c r="AR79" s="4"/>
      <c r="AS79" s="4"/>
      <c r="AT79" s="1"/>
      <c r="AU79" s="4"/>
      <c r="AV79" s="4"/>
      <c r="AW79" s="4"/>
      <c r="AX79" s="4"/>
      <c r="AY79" s="4"/>
      <c r="AZ79" s="4"/>
      <c r="BA79" s="4"/>
      <c r="BB79" s="4"/>
      <c r="BC79" s="4"/>
      <c r="BD79" s="4"/>
      <c r="BE79" s="4"/>
    </row>
    <row r="80" ht="9.0" customHeight="1">
      <c r="A80" s="16"/>
      <c r="B80" s="54" t="str">
        <f>B17</f>
        <v/>
      </c>
      <c r="C80" s="20"/>
      <c r="D80" s="20"/>
      <c r="E80" s="20"/>
      <c r="F80" s="20"/>
      <c r="G80" s="21"/>
      <c r="H80" s="25"/>
      <c r="I80" s="112" t="str">
        <f>I17</f>
        <v/>
      </c>
      <c r="J80" s="21"/>
      <c r="K80" s="56"/>
      <c r="L80" s="57">
        <v>4.0</v>
      </c>
      <c r="M80" s="71"/>
      <c r="N80" s="45"/>
      <c r="O80" s="59">
        <f>countif(E100:H119,4)+countif(K105:N119,4)+countif(Q86:T119,4)+countif(W108:Z119,4)+countif(AC110:AF119,4)+countif(AI114:AL119,4)+countif(AO103:AR119,4)+countif(AU91:AX119,4)+O77</f>
        <v>0</v>
      </c>
      <c r="P80" s="1"/>
      <c r="Q80" s="4"/>
      <c r="R80" s="4"/>
      <c r="S80" s="4"/>
      <c r="T80" s="4"/>
      <c r="U80" s="4"/>
      <c r="V80" s="1"/>
      <c r="W80" s="4"/>
      <c r="X80" s="4"/>
      <c r="Y80" s="4"/>
      <c r="Z80" s="4"/>
      <c r="AA80" s="4"/>
      <c r="AB80" s="1"/>
      <c r="AC80" s="4"/>
      <c r="AD80" s="4"/>
      <c r="AE80" s="4"/>
      <c r="AF80" s="4"/>
      <c r="AG80" s="4"/>
      <c r="AH80" s="1"/>
      <c r="AI80" s="4"/>
      <c r="AJ80" s="4"/>
      <c r="AK80" s="4"/>
      <c r="AL80" s="4"/>
      <c r="AM80" s="4"/>
      <c r="AN80" s="1"/>
      <c r="AO80" s="4"/>
      <c r="AP80" s="4"/>
      <c r="AQ80" s="4"/>
      <c r="AR80" s="4"/>
      <c r="AS80" s="4"/>
      <c r="AT80" s="1"/>
      <c r="AU80" s="4"/>
      <c r="AV80" s="4"/>
      <c r="AW80" s="4"/>
      <c r="AX80" s="4"/>
      <c r="AY80" s="4"/>
      <c r="AZ80" s="4"/>
      <c r="BA80" s="4"/>
      <c r="BB80" s="4"/>
      <c r="BC80" s="4"/>
      <c r="BD80" s="4"/>
      <c r="BE80" s="4"/>
    </row>
    <row r="81" ht="9.0" customHeight="1">
      <c r="A81" s="16"/>
      <c r="B81" s="17"/>
      <c r="C81" s="17"/>
      <c r="D81" s="65"/>
      <c r="E81" s="17"/>
      <c r="F81" s="17"/>
      <c r="G81" s="17"/>
      <c r="H81" s="17"/>
      <c r="I81" s="17"/>
      <c r="J81" s="65"/>
      <c r="K81" s="17"/>
      <c r="L81" s="17"/>
      <c r="M81" s="17"/>
      <c r="N81" s="27"/>
      <c r="O81" s="23"/>
      <c r="P81" s="1"/>
      <c r="Q81" s="4"/>
      <c r="R81" s="4"/>
      <c r="S81" s="4"/>
      <c r="T81" s="4"/>
      <c r="U81" s="4"/>
      <c r="V81" s="1"/>
      <c r="W81" s="4"/>
      <c r="X81" s="4"/>
      <c r="Y81" s="4"/>
      <c r="Z81" s="4"/>
      <c r="AA81" s="4"/>
      <c r="AB81" s="1"/>
      <c r="AC81" s="4"/>
      <c r="AD81" s="4"/>
      <c r="AE81" s="4"/>
      <c r="AF81" s="4"/>
      <c r="AG81" s="4"/>
      <c r="AH81" s="1"/>
      <c r="AI81" s="4"/>
      <c r="AJ81" s="4"/>
      <c r="AK81" s="4"/>
      <c r="AL81" s="4"/>
      <c r="AM81" s="4"/>
      <c r="AN81" s="1"/>
      <c r="AO81" s="4"/>
      <c r="AP81" s="4"/>
      <c r="AQ81" s="4"/>
      <c r="AR81" s="4"/>
      <c r="AS81" s="4"/>
      <c r="AT81" s="1"/>
      <c r="AU81" s="4"/>
      <c r="AV81" s="4"/>
      <c r="AW81" s="4"/>
      <c r="AX81" s="4"/>
      <c r="AY81" s="4"/>
      <c r="AZ81" s="4"/>
      <c r="BA81" s="4"/>
      <c r="BB81" s="4"/>
      <c r="BC81" s="4"/>
      <c r="BD81" s="4"/>
      <c r="BE81" s="4"/>
    </row>
    <row r="82" ht="9.0" customHeight="1">
      <c r="A82" s="16"/>
      <c r="B82" s="17" t="s">
        <v>38</v>
      </c>
      <c r="C82" s="17"/>
      <c r="D82" s="25"/>
      <c r="E82" s="25"/>
      <c r="F82" s="25"/>
      <c r="G82" s="25"/>
      <c r="H82" s="25"/>
      <c r="I82" s="25" t="s">
        <v>10</v>
      </c>
      <c r="J82" s="25"/>
      <c r="K82" s="17"/>
      <c r="L82" s="17" t="s">
        <v>9</v>
      </c>
      <c r="M82" s="17"/>
      <c r="N82" s="27"/>
      <c r="O82" s="60"/>
      <c r="P82" s="1"/>
      <c r="Q82" s="4"/>
      <c r="R82" s="4"/>
      <c r="S82" s="4"/>
      <c r="T82" s="4"/>
      <c r="U82" s="4"/>
      <c r="V82" s="1"/>
      <c r="W82" s="4"/>
      <c r="X82" s="4"/>
      <c r="Y82" s="4"/>
      <c r="Z82" s="4"/>
      <c r="AA82" s="4"/>
      <c r="AB82" s="1"/>
      <c r="AC82" s="4"/>
      <c r="AD82" s="4"/>
      <c r="AE82" s="4"/>
      <c r="AF82" s="4"/>
      <c r="AG82" s="4"/>
      <c r="AH82" s="1"/>
      <c r="AI82" s="4"/>
      <c r="AJ82" s="4"/>
      <c r="AK82" s="4"/>
      <c r="AL82" s="4"/>
      <c r="AM82" s="4"/>
      <c r="AN82" s="1"/>
      <c r="AO82" s="4"/>
      <c r="AP82" s="4"/>
      <c r="AQ82" s="4"/>
      <c r="AR82" s="4"/>
      <c r="AS82" s="4"/>
      <c r="AT82" s="1"/>
      <c r="AU82" s="4"/>
      <c r="AV82" s="4"/>
      <c r="AW82" s="4"/>
      <c r="AX82" s="4"/>
      <c r="AY82" s="4"/>
      <c r="AZ82" s="4"/>
      <c r="BA82" s="4"/>
      <c r="BB82" s="4"/>
      <c r="BC82" s="4"/>
      <c r="BD82" s="4"/>
      <c r="BE82" s="4"/>
    </row>
    <row r="83" ht="9.0" customHeight="1">
      <c r="A83" s="16"/>
      <c r="B83" s="54" t="str">
        <f>B20</f>
        <v/>
      </c>
      <c r="C83" s="20"/>
      <c r="D83" s="20"/>
      <c r="E83" s="20"/>
      <c r="F83" s="20"/>
      <c r="G83" s="21"/>
      <c r="H83" s="25"/>
      <c r="I83" s="112" t="str">
        <f>I20</f>
        <v/>
      </c>
      <c r="J83" s="21"/>
      <c r="K83" s="56"/>
      <c r="L83" s="57">
        <v>5.0</v>
      </c>
      <c r="M83" s="73"/>
      <c r="N83" s="45"/>
      <c r="O83" s="59">
        <f>countif(E100:H119,5)+countif(K105:N119,5)+countif(Q86:T119,5)+countif(W108:Z119,5)+countif(AC110:AF119,5)+countif(AI114:AL119,5)+countif(AO103:AR119,5)+countif(AU91:AX119,5)+O80</f>
        <v>0</v>
      </c>
      <c r="P83" s="1"/>
      <c r="Q83" s="4"/>
      <c r="R83" s="4"/>
      <c r="S83" s="4"/>
      <c r="T83" s="4"/>
      <c r="U83" s="4"/>
      <c r="V83" s="1"/>
      <c r="W83" s="4"/>
      <c r="X83" s="4"/>
      <c r="Y83" s="4"/>
      <c r="Z83" s="4"/>
      <c r="AA83" s="4"/>
      <c r="AB83" s="1"/>
      <c r="AC83" s="4"/>
      <c r="AD83" s="4"/>
      <c r="AE83" s="4"/>
      <c r="AF83" s="4"/>
      <c r="AG83" s="4"/>
      <c r="AH83" s="1"/>
      <c r="AI83" s="4"/>
      <c r="AJ83" s="4"/>
      <c r="AK83" s="4"/>
      <c r="AL83" s="4"/>
      <c r="AM83" s="4"/>
      <c r="AN83" s="1"/>
      <c r="AO83" s="4"/>
      <c r="AP83" s="4"/>
      <c r="AQ83" s="4"/>
      <c r="AR83" s="4"/>
      <c r="AS83" s="4"/>
      <c r="AT83" s="1"/>
      <c r="AU83" s="4"/>
      <c r="AV83" s="4"/>
      <c r="AW83" s="4"/>
      <c r="AX83" s="4"/>
      <c r="AY83" s="4"/>
      <c r="AZ83" s="4"/>
      <c r="BA83" s="4"/>
      <c r="BB83" s="4"/>
      <c r="BC83" s="4"/>
      <c r="BD83" s="4"/>
      <c r="BE83" s="4"/>
    </row>
    <row r="84" ht="9.0" customHeight="1">
      <c r="A84" s="16"/>
      <c r="B84" s="17"/>
      <c r="C84" s="17"/>
      <c r="D84" s="65"/>
      <c r="E84" s="17"/>
      <c r="F84" s="17"/>
      <c r="G84" s="17"/>
      <c r="H84" s="17"/>
      <c r="I84" s="17"/>
      <c r="J84" s="65"/>
      <c r="K84" s="17"/>
      <c r="L84" s="17"/>
      <c r="M84" s="17"/>
      <c r="N84" s="27"/>
      <c r="O84" s="23"/>
      <c r="P84" s="1"/>
      <c r="Q84" s="6">
        <f>SUM(Q120:T120)/80</f>
        <v>0</v>
      </c>
      <c r="R84" s="7"/>
      <c r="S84" s="7"/>
      <c r="T84" s="7"/>
      <c r="U84" s="4"/>
      <c r="V84" s="1"/>
      <c r="W84" s="4"/>
      <c r="X84" s="4"/>
      <c r="Y84" s="4"/>
      <c r="Z84" s="4"/>
      <c r="AA84" s="4"/>
      <c r="AB84" s="1"/>
      <c r="AC84" s="4"/>
      <c r="AD84" s="4"/>
      <c r="AE84" s="4"/>
      <c r="AF84" s="4"/>
      <c r="AG84" s="4"/>
      <c r="AH84" s="1"/>
      <c r="AI84" s="4"/>
      <c r="AJ84" s="4"/>
      <c r="AK84" s="4"/>
      <c r="AL84" s="4"/>
      <c r="AM84" s="4"/>
      <c r="AN84" s="1"/>
      <c r="AO84" s="4"/>
      <c r="AP84" s="4"/>
      <c r="AQ84" s="4"/>
      <c r="AR84" s="4"/>
      <c r="AS84" s="4"/>
      <c r="AT84" s="1"/>
      <c r="AU84" s="4"/>
      <c r="AV84" s="4"/>
      <c r="AW84" s="4"/>
      <c r="AX84" s="4"/>
      <c r="AY84" s="4"/>
      <c r="AZ84" s="4"/>
      <c r="BA84" s="4"/>
      <c r="BB84" s="4"/>
      <c r="BC84" s="4"/>
      <c r="BD84" s="4"/>
      <c r="BE84" s="4"/>
    </row>
    <row r="85" ht="9.0" customHeight="1">
      <c r="A85" s="16"/>
      <c r="B85" s="17" t="s">
        <v>38</v>
      </c>
      <c r="C85" s="17"/>
      <c r="D85" s="25"/>
      <c r="E85" s="25"/>
      <c r="F85" s="25"/>
      <c r="G85" s="25"/>
      <c r="H85" s="25"/>
      <c r="I85" s="25" t="s">
        <v>10</v>
      </c>
      <c r="J85" s="25"/>
      <c r="K85" s="17"/>
      <c r="L85" s="17" t="s">
        <v>9</v>
      </c>
      <c r="M85" s="17"/>
      <c r="N85" s="27"/>
      <c r="O85" s="60"/>
      <c r="P85" s="1"/>
      <c r="Q85" s="4"/>
      <c r="R85" s="4"/>
      <c r="S85" s="4"/>
      <c r="T85" s="4"/>
      <c r="U85" s="4"/>
      <c r="V85" s="1"/>
      <c r="W85" s="4"/>
      <c r="X85" s="4"/>
      <c r="Y85" s="4"/>
      <c r="Z85" s="4"/>
      <c r="AA85" s="4"/>
      <c r="AB85" s="1"/>
      <c r="AC85" s="4"/>
      <c r="AD85" s="4"/>
      <c r="AE85" s="4"/>
      <c r="AF85" s="4"/>
      <c r="AG85" s="4"/>
      <c r="AH85" s="1"/>
      <c r="AI85" s="4"/>
      <c r="AJ85" s="4"/>
      <c r="AK85" s="4"/>
      <c r="AL85" s="4"/>
      <c r="AM85" s="4"/>
      <c r="AN85" s="1"/>
      <c r="AO85" s="4"/>
      <c r="AP85" s="4"/>
      <c r="AQ85" s="4"/>
      <c r="AR85" s="4"/>
      <c r="AS85" s="4"/>
      <c r="AT85" s="1"/>
      <c r="AU85" s="4"/>
      <c r="AV85" s="4"/>
      <c r="AW85" s="4"/>
      <c r="AX85" s="4"/>
      <c r="AY85" s="4"/>
      <c r="AZ85" s="4"/>
      <c r="BA85" s="4"/>
      <c r="BB85" s="4"/>
      <c r="BC85" s="4"/>
      <c r="BD85" s="4"/>
      <c r="BE85" s="4"/>
    </row>
    <row r="86" ht="9.0" customHeight="1">
      <c r="A86" s="16"/>
      <c r="B86" s="54" t="str">
        <f>B23</f>
        <v/>
      </c>
      <c r="C86" s="20"/>
      <c r="D86" s="20"/>
      <c r="E86" s="20"/>
      <c r="F86" s="20"/>
      <c r="G86" s="21"/>
      <c r="H86" s="25"/>
      <c r="I86" s="112" t="str">
        <f>I23</f>
        <v/>
      </c>
      <c r="J86" s="21"/>
      <c r="K86" s="56"/>
      <c r="L86" s="57">
        <v>6.0</v>
      </c>
      <c r="M86" s="77"/>
      <c r="N86" s="45"/>
      <c r="O86" s="59">
        <f>countif(E100:H119,6)+countif(K105:N119,6)+countif(Q86:T119,6)+countif(W108:Z119,6)+countif(AC110:AF119,6)+countif(AI114:AL119,6)+countif(AO103:AR119,6)+countif(AU91:AX119,6)+O83</f>
        <v>0</v>
      </c>
      <c r="P86" s="1" t="s">
        <v>403</v>
      </c>
      <c r="Q86" s="14"/>
      <c r="R86" s="14"/>
      <c r="S86" s="14"/>
      <c r="T86" s="14"/>
      <c r="U86" s="4"/>
      <c r="V86" s="1"/>
      <c r="W86" s="4"/>
      <c r="X86" s="4"/>
      <c r="Y86" s="4"/>
      <c r="Z86" s="4"/>
      <c r="AA86" s="4"/>
      <c r="AB86" s="1"/>
      <c r="AC86" s="4"/>
      <c r="AD86" s="4"/>
      <c r="AE86" s="4"/>
      <c r="AF86" s="4"/>
      <c r="AG86" s="4"/>
      <c r="AH86" s="1"/>
      <c r="AI86" s="4"/>
      <c r="AJ86" s="4"/>
      <c r="AK86" s="4"/>
      <c r="AL86" s="4"/>
      <c r="AM86" s="4"/>
      <c r="AN86" s="1"/>
      <c r="AO86" s="4"/>
      <c r="AP86" s="4"/>
      <c r="AQ86" s="4"/>
      <c r="AR86" s="4"/>
      <c r="AS86" s="4"/>
      <c r="AT86" s="1"/>
      <c r="AU86" s="4"/>
      <c r="AV86" s="4"/>
      <c r="AW86" s="4"/>
      <c r="AX86" s="4"/>
      <c r="AY86" s="4"/>
      <c r="AZ86" s="4"/>
      <c r="BA86" s="4"/>
      <c r="BB86" s="4"/>
      <c r="BC86" s="4"/>
      <c r="BD86" s="4"/>
      <c r="BE86" s="4"/>
    </row>
    <row r="87" ht="9.0" customHeight="1">
      <c r="A87" s="16"/>
      <c r="B87" s="17"/>
      <c r="C87" s="17"/>
      <c r="D87" s="65"/>
      <c r="E87" s="17"/>
      <c r="F87" s="17"/>
      <c r="G87" s="17"/>
      <c r="H87" s="17"/>
      <c r="I87" s="17"/>
      <c r="J87" s="65"/>
      <c r="K87" s="17"/>
      <c r="L87" s="17"/>
      <c r="M87" s="17"/>
      <c r="N87" s="27"/>
      <c r="O87" s="23"/>
      <c r="P87" s="1" t="s">
        <v>404</v>
      </c>
      <c r="Q87" s="28"/>
      <c r="R87" s="21"/>
      <c r="S87" s="28"/>
      <c r="T87" s="21"/>
      <c r="U87" s="4"/>
      <c r="V87" s="1"/>
      <c r="W87" s="4"/>
      <c r="X87" s="4"/>
      <c r="Y87" s="4"/>
      <c r="Z87" s="4"/>
      <c r="AA87" s="4"/>
      <c r="AB87" s="1"/>
      <c r="AC87" s="4"/>
      <c r="AD87" s="4"/>
      <c r="AE87" s="4"/>
      <c r="AF87" s="4"/>
      <c r="AG87" s="4"/>
      <c r="AH87" s="1"/>
      <c r="AI87" s="4"/>
      <c r="AJ87" s="4"/>
      <c r="AK87" s="4"/>
      <c r="AL87" s="4"/>
      <c r="AM87" s="4"/>
      <c r="AN87" s="1"/>
      <c r="AO87" s="4"/>
      <c r="AP87" s="4"/>
      <c r="AQ87" s="4"/>
      <c r="AR87" s="4"/>
      <c r="AS87" s="4"/>
      <c r="AT87" s="1"/>
      <c r="AU87" s="4"/>
      <c r="AV87" s="4"/>
      <c r="AW87" s="4"/>
      <c r="AX87" s="4"/>
      <c r="AY87" s="4"/>
      <c r="AZ87" s="4"/>
      <c r="BA87" s="4"/>
      <c r="BB87" s="4"/>
      <c r="BC87" s="4"/>
      <c r="BD87" s="4"/>
      <c r="BE87" s="4"/>
    </row>
    <row r="88" ht="9.0" customHeight="1">
      <c r="A88" s="16"/>
      <c r="B88" s="80" t="s">
        <v>85</v>
      </c>
      <c r="C88" s="80"/>
      <c r="D88" s="81"/>
      <c r="E88" s="80"/>
      <c r="F88" s="80"/>
      <c r="G88" s="80"/>
      <c r="H88" s="80"/>
      <c r="I88" s="80"/>
      <c r="J88" s="81"/>
      <c r="K88" s="80"/>
      <c r="L88" s="80"/>
      <c r="M88" s="80"/>
      <c r="N88" s="27"/>
      <c r="O88" s="23"/>
      <c r="P88" s="1" t="s">
        <v>405</v>
      </c>
      <c r="Q88" s="14"/>
      <c r="R88" s="14"/>
      <c r="S88" s="14"/>
      <c r="T88" s="14"/>
      <c r="U88" s="4"/>
      <c r="V88" s="1"/>
      <c r="W88" s="4"/>
      <c r="X88" s="4"/>
      <c r="Y88" s="4"/>
      <c r="Z88" s="4"/>
      <c r="AA88" s="4"/>
      <c r="AB88" s="1"/>
      <c r="AC88" s="4"/>
      <c r="AD88" s="4"/>
      <c r="AE88" s="4"/>
      <c r="AF88" s="4"/>
      <c r="AG88" s="4"/>
      <c r="AH88" s="1"/>
      <c r="AI88" s="4"/>
      <c r="AJ88" s="4"/>
      <c r="AK88" s="4"/>
      <c r="AL88" s="4"/>
      <c r="AM88" s="4"/>
      <c r="AN88" s="1"/>
      <c r="AO88" s="4"/>
      <c r="AP88" s="4"/>
      <c r="AQ88" s="4"/>
      <c r="AR88" s="4"/>
      <c r="AS88" s="4"/>
      <c r="AT88" s="1"/>
      <c r="AU88" s="4"/>
      <c r="AV88" s="4"/>
      <c r="AW88" s="4"/>
      <c r="AX88" s="4"/>
      <c r="AY88" s="4"/>
      <c r="AZ88" s="4"/>
      <c r="BA88" s="4"/>
      <c r="BB88" s="4"/>
      <c r="BC88" s="4"/>
      <c r="BD88" s="4"/>
      <c r="BE88" s="4"/>
    </row>
    <row r="89" ht="9.0" customHeight="1">
      <c r="A89" s="16"/>
      <c r="B89" s="80" t="s">
        <v>89</v>
      </c>
      <c r="C89" s="80"/>
      <c r="D89" s="81"/>
      <c r="E89" s="80"/>
      <c r="F89" s="80"/>
      <c r="G89" s="80"/>
      <c r="H89" s="80"/>
      <c r="I89" s="80"/>
      <c r="J89" s="81"/>
      <c r="K89" s="80"/>
      <c r="L89" s="80"/>
      <c r="M89" s="80"/>
      <c r="N89" s="27"/>
      <c r="O89" s="23"/>
      <c r="P89" s="1" t="s">
        <v>406</v>
      </c>
      <c r="Q89" s="28"/>
      <c r="R89" s="21"/>
      <c r="S89" s="28"/>
      <c r="T89" s="21"/>
      <c r="U89" s="4"/>
      <c r="V89" s="1"/>
      <c r="W89" s="4"/>
      <c r="X89" s="4"/>
      <c r="Y89" s="4"/>
      <c r="Z89" s="4"/>
      <c r="AA89" s="4"/>
      <c r="AB89" s="1"/>
      <c r="AC89" s="4"/>
      <c r="AD89" s="4"/>
      <c r="AE89" s="4"/>
      <c r="AF89" s="4"/>
      <c r="AG89" s="4"/>
      <c r="AH89" s="1"/>
      <c r="AI89" s="4"/>
      <c r="AJ89" s="4"/>
      <c r="AK89" s="4"/>
      <c r="AL89" s="4"/>
      <c r="AM89" s="4"/>
      <c r="AN89" s="1"/>
      <c r="AO89" s="4"/>
      <c r="AP89" s="4"/>
      <c r="AQ89" s="4"/>
      <c r="AR89" s="4"/>
      <c r="AS89" s="4"/>
      <c r="AT89" s="1"/>
      <c r="AU89" s="6">
        <f>SUM(AU120:AX120)/76</f>
        <v>0</v>
      </c>
      <c r="AV89" s="7"/>
      <c r="AW89" s="7"/>
      <c r="AX89" s="7"/>
      <c r="AY89" s="4"/>
      <c r="AZ89" s="4"/>
      <c r="BA89" s="4"/>
      <c r="BB89" s="4"/>
      <c r="BC89" s="4"/>
      <c r="BD89" s="4"/>
      <c r="BE89" s="4"/>
    </row>
    <row r="90" ht="9.0" customHeight="1">
      <c r="A90" s="16"/>
      <c r="B90" s="80" t="s">
        <v>93</v>
      </c>
      <c r="C90" s="80"/>
      <c r="D90" s="81"/>
      <c r="E90" s="80"/>
      <c r="F90" s="80"/>
      <c r="G90" s="80"/>
      <c r="H90" s="80"/>
      <c r="I90" s="80"/>
      <c r="J90" s="81"/>
      <c r="K90" s="80"/>
      <c r="L90" s="80"/>
      <c r="M90" s="80"/>
      <c r="N90" s="27"/>
      <c r="O90" s="23"/>
      <c r="P90" s="1" t="s">
        <v>407</v>
      </c>
      <c r="Q90" s="28"/>
      <c r="R90" s="21"/>
      <c r="S90" s="28"/>
      <c r="T90" s="21"/>
      <c r="U90" s="4"/>
      <c r="V90" s="1"/>
      <c r="W90" s="4"/>
      <c r="X90" s="4"/>
      <c r="Y90" s="4"/>
      <c r="Z90" s="4"/>
      <c r="AA90" s="4"/>
      <c r="AB90" s="1"/>
      <c r="AC90" s="4"/>
      <c r="AD90" s="4"/>
      <c r="AE90" s="4"/>
      <c r="AF90" s="4"/>
      <c r="AG90" s="4"/>
      <c r="AH90" s="1"/>
      <c r="AI90" s="4"/>
      <c r="AJ90" s="4"/>
      <c r="AK90" s="4"/>
      <c r="AL90" s="4"/>
      <c r="AM90" s="4"/>
      <c r="AN90" s="1"/>
      <c r="AO90" s="4"/>
      <c r="AP90" s="4"/>
      <c r="AQ90" s="4"/>
      <c r="AR90" s="4"/>
      <c r="AS90" s="4"/>
      <c r="AT90" s="1"/>
      <c r="AU90" s="4"/>
      <c r="AV90" s="4"/>
      <c r="AW90" s="4"/>
      <c r="AX90" s="4"/>
      <c r="AY90" s="4"/>
      <c r="AZ90" s="4"/>
      <c r="BA90" s="4"/>
      <c r="BB90" s="4"/>
      <c r="BC90" s="4"/>
      <c r="BD90" s="4"/>
      <c r="BE90" s="4"/>
    </row>
    <row r="91" ht="9.0" customHeight="1">
      <c r="A91" s="82"/>
      <c r="B91" s="83"/>
      <c r="C91" s="83"/>
      <c r="D91" s="84"/>
      <c r="E91" s="83"/>
      <c r="F91" s="83"/>
      <c r="G91" s="83"/>
      <c r="H91" s="83"/>
      <c r="I91" s="83"/>
      <c r="J91" s="84"/>
      <c r="K91" s="83"/>
      <c r="L91" s="83"/>
      <c r="M91" s="83"/>
      <c r="N91" s="85"/>
      <c r="O91" s="86"/>
      <c r="P91" s="1" t="s">
        <v>408</v>
      </c>
      <c r="Q91" s="28"/>
      <c r="R91" s="21"/>
      <c r="S91" s="28"/>
      <c r="T91" s="21"/>
      <c r="U91" s="4"/>
      <c r="V91" s="1"/>
      <c r="W91" s="4"/>
      <c r="X91" s="4"/>
      <c r="Y91" s="4"/>
      <c r="Z91" s="4"/>
      <c r="AA91" s="4"/>
      <c r="AB91" s="1"/>
      <c r="AC91" s="4"/>
      <c r="AD91" s="4"/>
      <c r="AE91" s="4"/>
      <c r="AF91" s="4"/>
      <c r="AG91" s="4"/>
      <c r="AH91" s="1"/>
      <c r="AI91" s="4"/>
      <c r="AJ91" s="4"/>
      <c r="AK91" s="4"/>
      <c r="AL91" s="4"/>
      <c r="AM91" s="4"/>
      <c r="AN91" s="1"/>
      <c r="AO91" s="4"/>
      <c r="AP91" s="4"/>
      <c r="AQ91" s="4"/>
      <c r="AR91" s="4"/>
      <c r="AS91" s="4"/>
      <c r="AT91" s="1" t="s">
        <v>409</v>
      </c>
      <c r="AU91" s="28"/>
      <c r="AV91" s="21"/>
      <c r="AW91" s="28"/>
      <c r="AX91" s="21"/>
      <c r="AY91" s="4"/>
      <c r="AZ91" s="4"/>
      <c r="BA91" s="4"/>
      <c r="BB91" s="4"/>
      <c r="BC91" s="4"/>
      <c r="BD91" s="4"/>
      <c r="BE91" s="4"/>
    </row>
    <row r="92" ht="9.0" customHeight="1">
      <c r="D92" s="1"/>
      <c r="E92" s="4"/>
      <c r="F92" s="4"/>
      <c r="G92" s="4"/>
      <c r="H92" s="4"/>
      <c r="I92" s="4"/>
      <c r="J92" s="1"/>
      <c r="K92" s="2"/>
      <c r="L92" s="2"/>
      <c r="M92" s="2"/>
      <c r="N92" s="2"/>
      <c r="O92" s="4"/>
      <c r="P92" s="1" t="s">
        <v>410</v>
      </c>
      <c r="Q92" s="28"/>
      <c r="R92" s="21"/>
      <c r="S92" s="28"/>
      <c r="T92" s="21"/>
      <c r="U92" s="4"/>
      <c r="V92" s="1"/>
      <c r="W92" s="4"/>
      <c r="X92" s="4"/>
      <c r="Y92" s="4"/>
      <c r="Z92" s="4"/>
      <c r="AA92" s="4"/>
      <c r="AB92" s="1"/>
      <c r="AC92" s="4"/>
      <c r="AD92" s="4"/>
      <c r="AE92" s="4"/>
      <c r="AF92" s="4"/>
      <c r="AG92" s="4"/>
      <c r="AH92" s="1"/>
      <c r="AI92" s="4"/>
      <c r="AJ92" s="4"/>
      <c r="AK92" s="4"/>
      <c r="AL92" s="4"/>
      <c r="AM92" s="4"/>
      <c r="AN92" s="1"/>
      <c r="AO92" s="4"/>
      <c r="AP92" s="4"/>
      <c r="AQ92" s="4"/>
      <c r="AR92" s="4"/>
      <c r="AS92" s="4"/>
      <c r="AT92" s="1" t="s">
        <v>411</v>
      </c>
      <c r="AU92" s="28"/>
      <c r="AV92" s="21"/>
      <c r="AW92" s="28"/>
      <c r="AX92" s="21"/>
      <c r="AY92" s="4"/>
      <c r="AZ92" s="4"/>
      <c r="BA92" s="4"/>
      <c r="BB92" s="4"/>
      <c r="BC92" s="4"/>
      <c r="BD92" s="4"/>
      <c r="BE92" s="4"/>
    </row>
    <row r="93" ht="9.0" customHeight="1">
      <c r="D93" s="1"/>
      <c r="E93" s="4"/>
      <c r="F93" s="4"/>
      <c r="G93" s="4"/>
      <c r="H93" s="4"/>
      <c r="I93" s="4"/>
      <c r="J93" s="1"/>
      <c r="K93" s="4"/>
      <c r="L93" s="4"/>
      <c r="M93" s="4"/>
      <c r="N93" s="4"/>
      <c r="O93" s="4"/>
      <c r="P93" s="1" t="s">
        <v>412</v>
      </c>
      <c r="Q93" s="28"/>
      <c r="R93" s="21"/>
      <c r="S93" s="28"/>
      <c r="T93" s="21"/>
      <c r="U93" s="4"/>
      <c r="V93" s="1"/>
      <c r="W93" s="4"/>
      <c r="X93" s="4"/>
      <c r="Y93" s="4"/>
      <c r="Z93" s="4"/>
      <c r="AA93" s="4"/>
      <c r="AB93" s="1"/>
      <c r="AC93" s="4"/>
      <c r="AD93" s="4"/>
      <c r="AE93" s="4"/>
      <c r="AF93" s="4"/>
      <c r="AG93" s="4"/>
      <c r="AH93" s="1"/>
      <c r="AI93" s="4"/>
      <c r="AJ93" s="4"/>
      <c r="AK93" s="4"/>
      <c r="AL93" s="4"/>
      <c r="AM93" s="4"/>
      <c r="AN93" s="1"/>
      <c r="AO93" s="4"/>
      <c r="AP93" s="4"/>
      <c r="AQ93" s="4"/>
      <c r="AR93" s="4"/>
      <c r="AS93" s="4"/>
      <c r="AT93" s="1" t="s">
        <v>413</v>
      </c>
      <c r="AU93" s="28"/>
      <c r="AV93" s="21"/>
      <c r="AW93" s="28"/>
      <c r="AX93" s="21"/>
      <c r="AY93" s="4"/>
      <c r="AZ93" s="4"/>
      <c r="BA93" s="4"/>
      <c r="BB93" s="4"/>
      <c r="BC93" s="4"/>
      <c r="BD93" s="4"/>
      <c r="BE93" s="4"/>
    </row>
    <row r="94" ht="9.0" customHeight="1">
      <c r="D94" s="1"/>
      <c r="E94" s="4"/>
      <c r="F94" s="4"/>
      <c r="G94" s="4"/>
      <c r="H94" s="4"/>
      <c r="I94" s="4"/>
      <c r="J94" s="1"/>
      <c r="K94" s="4"/>
      <c r="L94" s="4"/>
      <c r="M94" s="4"/>
      <c r="N94" s="4"/>
      <c r="O94" s="4"/>
      <c r="P94" s="1" t="s">
        <v>414</v>
      </c>
      <c r="Q94" s="28"/>
      <c r="R94" s="21"/>
      <c r="S94" s="28"/>
      <c r="T94" s="21"/>
      <c r="U94" s="4"/>
      <c r="V94" s="1"/>
      <c r="W94" s="4"/>
      <c r="X94" s="4"/>
      <c r="Y94" s="4"/>
      <c r="Z94" s="4"/>
      <c r="AA94" s="4"/>
      <c r="AB94" s="1"/>
      <c r="AC94" s="4"/>
      <c r="AD94" s="4"/>
      <c r="AE94" s="4"/>
      <c r="AF94" s="4"/>
      <c r="AG94" s="4"/>
      <c r="AH94" s="1"/>
      <c r="AI94" s="4"/>
      <c r="AJ94" s="4"/>
      <c r="AK94" s="4"/>
      <c r="AL94" s="4"/>
      <c r="AM94" s="4"/>
      <c r="AN94" s="1"/>
      <c r="AO94" s="4"/>
      <c r="AP94" s="4"/>
      <c r="AQ94" s="4"/>
      <c r="AR94" s="4"/>
      <c r="AS94" s="4"/>
      <c r="AT94" s="1" t="s">
        <v>415</v>
      </c>
      <c r="AU94" s="28"/>
      <c r="AV94" s="21"/>
      <c r="AW94" s="28"/>
      <c r="AX94" s="21"/>
      <c r="AY94" s="4"/>
      <c r="AZ94" s="4"/>
      <c r="BA94" s="4"/>
      <c r="BB94" s="4"/>
      <c r="BC94" s="4"/>
      <c r="BD94" s="4"/>
      <c r="BE94" s="4"/>
    </row>
    <row r="95" ht="9.0" customHeight="1">
      <c r="D95" s="1"/>
      <c r="E95" s="4"/>
      <c r="F95" s="4"/>
      <c r="G95" s="4"/>
      <c r="H95" s="4"/>
      <c r="I95" s="4"/>
      <c r="J95" s="1"/>
      <c r="K95" s="4"/>
      <c r="L95" s="4"/>
      <c r="M95" s="4"/>
      <c r="N95" s="4"/>
      <c r="O95" s="4"/>
      <c r="P95" s="1" t="s">
        <v>416</v>
      </c>
      <c r="Q95" s="28"/>
      <c r="R95" s="21"/>
      <c r="S95" s="28"/>
      <c r="T95" s="21"/>
      <c r="U95" s="4"/>
      <c r="V95" s="1"/>
      <c r="W95" s="4"/>
      <c r="X95" s="4"/>
      <c r="Y95" s="4"/>
      <c r="Z95" s="4"/>
      <c r="AA95" s="4"/>
      <c r="AB95" s="1"/>
      <c r="AC95" s="4"/>
      <c r="AD95" s="4"/>
      <c r="AE95" s="4"/>
      <c r="AF95" s="4"/>
      <c r="AG95" s="4"/>
      <c r="AH95" s="1"/>
      <c r="AI95" s="4"/>
      <c r="AJ95" s="4"/>
      <c r="AK95" s="4"/>
      <c r="AL95" s="4"/>
      <c r="AM95" s="4"/>
      <c r="AN95" s="1"/>
      <c r="AO95" s="4"/>
      <c r="AP95" s="4"/>
      <c r="AQ95" s="4"/>
      <c r="AR95" s="4"/>
      <c r="AS95" s="4"/>
      <c r="AT95" s="1" t="s">
        <v>417</v>
      </c>
      <c r="AU95" s="28"/>
      <c r="AV95" s="21"/>
      <c r="AW95" s="28"/>
      <c r="AX95" s="21"/>
      <c r="AY95" s="4"/>
      <c r="AZ95" s="4"/>
      <c r="BA95" s="4"/>
      <c r="BB95" s="4"/>
      <c r="BC95" s="4"/>
      <c r="BD95" s="4"/>
      <c r="BE95" s="4"/>
    </row>
    <row r="96" ht="9.0" customHeight="1">
      <c r="D96" s="1"/>
      <c r="E96" s="4"/>
      <c r="F96" s="4"/>
      <c r="G96" s="4"/>
      <c r="H96" s="4"/>
      <c r="I96" s="4"/>
      <c r="J96" s="1"/>
      <c r="K96" s="4"/>
      <c r="L96" s="4"/>
      <c r="M96" s="4"/>
      <c r="N96" s="4"/>
      <c r="O96" s="4"/>
      <c r="P96" s="1" t="s">
        <v>418</v>
      </c>
      <c r="Q96" s="28"/>
      <c r="R96" s="21"/>
      <c r="S96" s="28"/>
      <c r="T96" s="21"/>
      <c r="U96" s="4"/>
      <c r="V96" s="1"/>
      <c r="W96" s="4"/>
      <c r="X96" s="4"/>
      <c r="Y96" s="4"/>
      <c r="Z96" s="4"/>
      <c r="AA96" s="4"/>
      <c r="AB96" s="1"/>
      <c r="AC96" s="4"/>
      <c r="AD96" s="4"/>
      <c r="AE96" s="4"/>
      <c r="AF96" s="4"/>
      <c r="AG96" s="4"/>
      <c r="AH96" s="1"/>
      <c r="AI96" s="4"/>
      <c r="AJ96" s="4"/>
      <c r="AK96" s="4"/>
      <c r="AL96" s="4"/>
      <c r="AM96" s="4"/>
      <c r="AN96" s="1"/>
      <c r="AO96" s="4"/>
      <c r="AP96" s="4"/>
      <c r="AQ96" s="4"/>
      <c r="AR96" s="4"/>
      <c r="AS96" s="4"/>
      <c r="AT96" s="1" t="s">
        <v>419</v>
      </c>
      <c r="AU96" s="53"/>
      <c r="AV96" s="53"/>
      <c r="AW96" s="53"/>
      <c r="AX96" s="53"/>
      <c r="AY96" s="4"/>
      <c r="AZ96" s="4"/>
      <c r="BA96" s="4"/>
      <c r="BB96" s="4"/>
      <c r="BC96" s="4"/>
      <c r="BD96" s="4"/>
      <c r="BE96" s="4"/>
    </row>
    <row r="97" ht="9.0" customHeight="1">
      <c r="D97" s="1"/>
      <c r="E97" s="4"/>
      <c r="F97" s="4"/>
      <c r="G97" s="4"/>
      <c r="H97" s="4"/>
      <c r="I97" s="4"/>
      <c r="J97" s="1"/>
      <c r="K97" s="4"/>
      <c r="L97" s="4"/>
      <c r="M97" s="4"/>
      <c r="N97" s="4"/>
      <c r="O97" s="4"/>
      <c r="P97" s="1" t="s">
        <v>420</v>
      </c>
      <c r="Q97" s="28"/>
      <c r="R97" s="21"/>
      <c r="S97" s="28"/>
      <c r="T97" s="21"/>
      <c r="U97" s="4"/>
      <c r="V97" s="1"/>
      <c r="W97" s="4"/>
      <c r="X97" s="4"/>
      <c r="Y97" s="4"/>
      <c r="Z97" s="4"/>
      <c r="AA97" s="4"/>
      <c r="AB97" s="1"/>
      <c r="AC97" s="4"/>
      <c r="AD97" s="4"/>
      <c r="AE97" s="4"/>
      <c r="AF97" s="4"/>
      <c r="AG97" s="4"/>
      <c r="AH97" s="1"/>
      <c r="AI97" s="4"/>
      <c r="AJ97" s="4"/>
      <c r="AK97" s="4"/>
      <c r="AL97" s="4"/>
      <c r="AM97" s="4"/>
      <c r="AN97" s="1"/>
      <c r="AO97" s="4"/>
      <c r="AP97" s="4"/>
      <c r="AQ97" s="4"/>
      <c r="AR97" s="4"/>
      <c r="AS97" s="4"/>
      <c r="AT97" s="1" t="s">
        <v>421</v>
      </c>
      <c r="AU97" s="28"/>
      <c r="AV97" s="21"/>
      <c r="AW97" s="28"/>
      <c r="AX97" s="21"/>
      <c r="AY97" s="4"/>
      <c r="AZ97" s="4"/>
      <c r="BA97" s="4"/>
      <c r="BB97" s="4"/>
      <c r="BC97" s="4"/>
      <c r="BD97" s="4"/>
      <c r="BE97" s="4"/>
    </row>
    <row r="98" ht="9.0" customHeight="1">
      <c r="D98" s="1"/>
      <c r="E98" s="6">
        <f>SUM(E120:H120)/44</f>
        <v>0</v>
      </c>
      <c r="F98" s="7"/>
      <c r="G98" s="7"/>
      <c r="H98" s="7"/>
      <c r="I98" s="4"/>
      <c r="J98" s="1"/>
      <c r="K98" s="4"/>
      <c r="L98" s="4"/>
      <c r="M98" s="4"/>
      <c r="N98" s="4"/>
      <c r="O98" s="4"/>
      <c r="P98" s="1" t="s">
        <v>422</v>
      </c>
      <c r="Q98" s="28"/>
      <c r="R98" s="21"/>
      <c r="S98" s="28"/>
      <c r="T98" s="21"/>
      <c r="U98" s="4"/>
      <c r="V98" s="1"/>
      <c r="W98" s="4"/>
      <c r="X98" s="4"/>
      <c r="Y98" s="4"/>
      <c r="Z98" s="4"/>
      <c r="AA98" s="4"/>
      <c r="AB98" s="1"/>
      <c r="AC98" s="4"/>
      <c r="AD98" s="4"/>
      <c r="AE98" s="4"/>
      <c r="AF98" s="4"/>
      <c r="AG98" s="4"/>
      <c r="AH98" s="1"/>
      <c r="AI98" s="4"/>
      <c r="AJ98" s="4"/>
      <c r="AK98" s="4"/>
      <c r="AL98" s="4"/>
      <c r="AM98" s="4"/>
      <c r="AN98" s="1"/>
      <c r="AO98" s="4"/>
      <c r="AP98" s="4"/>
      <c r="AQ98" s="4"/>
      <c r="AR98" s="4"/>
      <c r="AS98" s="4"/>
      <c r="AT98" s="1" t="s">
        <v>423</v>
      </c>
      <c r="AU98" s="28"/>
      <c r="AV98" s="21"/>
      <c r="AW98" s="28"/>
      <c r="AX98" s="21"/>
      <c r="AY98" s="4"/>
      <c r="AZ98" s="4"/>
      <c r="BA98" s="4"/>
      <c r="BB98" s="4"/>
      <c r="BC98" s="4"/>
      <c r="BD98" s="4"/>
      <c r="BE98" s="4"/>
    </row>
    <row r="99" ht="9.0" customHeight="1">
      <c r="D99" s="1"/>
      <c r="E99" s="4"/>
      <c r="F99" s="4"/>
      <c r="G99" s="4"/>
      <c r="H99" s="4"/>
      <c r="I99" s="4"/>
      <c r="J99" s="1"/>
      <c r="K99" s="4"/>
      <c r="L99" s="4"/>
      <c r="M99" s="4"/>
      <c r="N99" s="4"/>
      <c r="O99" s="4"/>
      <c r="P99" s="1" t="s">
        <v>424</v>
      </c>
      <c r="Q99" s="28"/>
      <c r="R99" s="21"/>
      <c r="S99" s="28"/>
      <c r="T99" s="21"/>
      <c r="U99" s="4"/>
      <c r="V99" s="1"/>
      <c r="W99" s="4"/>
      <c r="X99" s="4"/>
      <c r="Y99" s="4"/>
      <c r="Z99" s="4"/>
      <c r="AA99" s="4"/>
      <c r="AB99" s="1"/>
      <c r="AC99" s="4"/>
      <c r="AD99" s="4"/>
      <c r="AE99" s="4"/>
      <c r="AF99" s="4"/>
      <c r="AG99" s="4"/>
      <c r="AH99" s="1"/>
      <c r="AI99" s="4"/>
      <c r="AJ99" s="4"/>
      <c r="AK99" s="4"/>
      <c r="AL99" s="4"/>
      <c r="AM99" s="4"/>
      <c r="AN99" s="1"/>
      <c r="AO99" s="4"/>
      <c r="AP99" s="4"/>
      <c r="AQ99" s="4"/>
      <c r="AR99" s="4"/>
      <c r="AS99" s="4"/>
      <c r="AT99" s="1" t="s">
        <v>425</v>
      </c>
      <c r="AU99" s="53"/>
      <c r="AV99" s="53"/>
      <c r="AW99" s="53"/>
      <c r="AX99" s="53"/>
      <c r="AY99" s="4"/>
      <c r="AZ99" s="4"/>
      <c r="BA99" s="4"/>
      <c r="BB99" s="4"/>
      <c r="BC99" s="4"/>
      <c r="BD99" s="4"/>
      <c r="BE99" s="4"/>
    </row>
    <row r="100" ht="9.0" customHeight="1">
      <c r="D100" s="1" t="s">
        <v>426</v>
      </c>
      <c r="E100" s="28"/>
      <c r="F100" s="21"/>
      <c r="G100" s="28"/>
      <c r="H100" s="21"/>
      <c r="I100" s="4"/>
      <c r="J100" s="1"/>
      <c r="K100" s="4"/>
      <c r="L100" s="4"/>
      <c r="M100" s="4"/>
      <c r="N100" s="4"/>
      <c r="O100" s="4"/>
      <c r="P100" s="1" t="s">
        <v>427</v>
      </c>
      <c r="Q100" s="14"/>
      <c r="R100" s="14"/>
      <c r="S100" s="14"/>
      <c r="T100" s="14"/>
      <c r="U100" s="4"/>
      <c r="V100" s="1"/>
      <c r="W100" s="4"/>
      <c r="X100" s="4"/>
      <c r="Y100" s="4"/>
      <c r="Z100" s="4"/>
      <c r="AA100" s="4"/>
      <c r="AB100" s="1"/>
      <c r="AC100" s="4"/>
      <c r="AD100" s="4"/>
      <c r="AE100" s="4"/>
      <c r="AF100" s="4"/>
      <c r="AG100" s="4"/>
      <c r="AH100" s="1"/>
      <c r="AI100" s="4"/>
      <c r="AJ100" s="4"/>
      <c r="AK100" s="4"/>
      <c r="AL100" s="4"/>
      <c r="AM100" s="4"/>
      <c r="AN100" s="1"/>
      <c r="AO100" s="4"/>
      <c r="AP100" s="4"/>
      <c r="AQ100" s="4"/>
      <c r="AR100" s="4"/>
      <c r="AS100" s="4"/>
      <c r="AT100" s="1" t="s">
        <v>428</v>
      </c>
      <c r="AU100" s="53"/>
      <c r="AV100" s="53"/>
      <c r="AW100" s="53"/>
      <c r="AX100" s="53"/>
      <c r="AY100" s="4"/>
      <c r="AZ100" s="4"/>
      <c r="BA100" s="4"/>
      <c r="BB100" s="4"/>
      <c r="BC100" s="4"/>
      <c r="BD100" s="4"/>
      <c r="BE100" s="4"/>
    </row>
    <row r="101" ht="9.0" customHeight="1">
      <c r="D101" s="1" t="s">
        <v>429</v>
      </c>
      <c r="E101" s="28"/>
      <c r="F101" s="21"/>
      <c r="G101" s="28"/>
      <c r="H101" s="21"/>
      <c r="I101" s="4"/>
      <c r="J101" s="1"/>
      <c r="K101" s="4"/>
      <c r="L101" s="4"/>
      <c r="M101" s="4"/>
      <c r="N101" s="4"/>
      <c r="O101" s="4"/>
      <c r="P101" s="1" t="s">
        <v>430</v>
      </c>
      <c r="Q101" s="28"/>
      <c r="R101" s="21"/>
      <c r="S101" s="28"/>
      <c r="T101" s="21"/>
      <c r="U101" s="4"/>
      <c r="V101" s="1"/>
      <c r="W101" s="4"/>
      <c r="X101" s="4"/>
      <c r="Y101" s="4"/>
      <c r="Z101" s="4"/>
      <c r="AA101" s="4"/>
      <c r="AB101" s="1"/>
      <c r="AC101" s="4"/>
      <c r="AD101" s="4"/>
      <c r="AE101" s="4"/>
      <c r="AF101" s="4"/>
      <c r="AG101" s="4"/>
      <c r="AH101" s="1"/>
      <c r="AI101" s="4"/>
      <c r="AJ101" s="4"/>
      <c r="AK101" s="4"/>
      <c r="AL101" s="4"/>
      <c r="AM101" s="4"/>
      <c r="AN101" s="1"/>
      <c r="AO101" s="6">
        <f>SUM(AO120:AR120)/52</f>
        <v>0</v>
      </c>
      <c r="AP101" s="7"/>
      <c r="AQ101" s="7"/>
      <c r="AR101" s="7"/>
      <c r="AS101" s="4"/>
      <c r="AT101" s="1" t="s">
        <v>431</v>
      </c>
      <c r="AU101" s="53"/>
      <c r="AV101" s="53"/>
      <c r="AW101" s="53"/>
      <c r="AX101" s="53"/>
      <c r="AY101" s="4"/>
      <c r="AZ101" s="4"/>
      <c r="BA101" s="4"/>
      <c r="BB101" s="4"/>
      <c r="BC101" s="4"/>
      <c r="BD101" s="4"/>
      <c r="BE101" s="4"/>
    </row>
    <row r="102" ht="9.0" customHeight="1">
      <c r="D102" s="1" t="s">
        <v>432</v>
      </c>
      <c r="E102" s="28"/>
      <c r="F102" s="21"/>
      <c r="G102" s="28"/>
      <c r="H102" s="21"/>
      <c r="I102" s="4"/>
      <c r="J102" s="1"/>
      <c r="K102" s="4"/>
      <c r="L102" s="4"/>
      <c r="M102" s="4"/>
      <c r="N102" s="4"/>
      <c r="O102" s="4"/>
      <c r="P102" s="1" t="s">
        <v>433</v>
      </c>
      <c r="Q102" s="43"/>
      <c r="R102" s="21"/>
      <c r="S102" s="43"/>
      <c r="T102" s="21"/>
      <c r="U102" s="4"/>
      <c r="V102" s="1"/>
      <c r="W102" s="4"/>
      <c r="X102" s="4"/>
      <c r="Y102" s="4"/>
      <c r="Z102" s="4"/>
      <c r="AA102" s="4"/>
      <c r="AB102" s="1"/>
      <c r="AC102" s="4"/>
      <c r="AD102" s="4"/>
      <c r="AE102" s="4"/>
      <c r="AF102" s="4"/>
      <c r="AG102" s="4"/>
      <c r="AH102" s="1"/>
      <c r="AI102" s="4"/>
      <c r="AJ102" s="4"/>
      <c r="AK102" s="4"/>
      <c r="AL102" s="4"/>
      <c r="AM102" s="4"/>
      <c r="AN102" s="1"/>
      <c r="AO102" s="4"/>
      <c r="AP102" s="4"/>
      <c r="AQ102" s="4"/>
      <c r="AR102" s="4"/>
      <c r="AS102" s="4"/>
      <c r="AT102" s="1" t="s">
        <v>434</v>
      </c>
      <c r="AU102" s="28"/>
      <c r="AV102" s="21"/>
      <c r="AW102" s="28"/>
      <c r="AX102" s="21"/>
      <c r="AY102" s="4"/>
      <c r="AZ102" s="4"/>
      <c r="BA102" s="4"/>
      <c r="BB102" s="4"/>
      <c r="BC102" s="4"/>
      <c r="BD102" s="4"/>
      <c r="BE102" s="4"/>
    </row>
    <row r="103" ht="9.0" customHeight="1">
      <c r="D103" s="1" t="s">
        <v>435</v>
      </c>
      <c r="E103" s="28"/>
      <c r="F103" s="21"/>
      <c r="G103" s="28"/>
      <c r="H103" s="21"/>
      <c r="I103" s="4"/>
      <c r="J103" s="1"/>
      <c r="K103" s="6">
        <f>SUM(K120:N120)/54</f>
        <v>0</v>
      </c>
      <c r="L103" s="7"/>
      <c r="M103" s="7"/>
      <c r="N103" s="7"/>
      <c r="O103" s="4"/>
      <c r="P103" s="1" t="s">
        <v>436</v>
      </c>
      <c r="Q103" s="43"/>
      <c r="R103" s="21"/>
      <c r="S103" s="43"/>
      <c r="T103" s="21"/>
      <c r="U103" s="4"/>
      <c r="V103" s="1"/>
      <c r="W103" s="4"/>
      <c r="X103" s="4"/>
      <c r="Y103" s="4"/>
      <c r="Z103" s="4"/>
      <c r="AA103" s="4"/>
      <c r="AB103" s="1"/>
      <c r="AC103" s="4"/>
      <c r="AD103" s="4"/>
      <c r="AE103" s="4"/>
      <c r="AF103" s="4"/>
      <c r="AG103" s="4"/>
      <c r="AH103" s="1"/>
      <c r="AI103" s="4"/>
      <c r="AJ103" s="4"/>
      <c r="AK103" s="4"/>
      <c r="AL103" s="4"/>
      <c r="AM103" s="4"/>
      <c r="AN103" s="1" t="s">
        <v>437</v>
      </c>
      <c r="AO103" s="28"/>
      <c r="AP103" s="21"/>
      <c r="AQ103" s="28"/>
      <c r="AR103" s="21"/>
      <c r="AS103" s="4"/>
      <c r="AT103" s="1" t="s">
        <v>438</v>
      </c>
      <c r="AU103" s="28"/>
      <c r="AV103" s="21"/>
      <c r="AW103" s="28"/>
      <c r="AX103" s="21"/>
      <c r="AY103" s="4"/>
      <c r="AZ103" s="4"/>
      <c r="BA103" s="4"/>
      <c r="BB103" s="4"/>
      <c r="BC103" s="4"/>
      <c r="BD103" s="4"/>
      <c r="BE103" s="4"/>
    </row>
    <row r="104" ht="9.0" customHeight="1">
      <c r="D104" s="1" t="s">
        <v>439</v>
      </c>
      <c r="E104" s="28"/>
      <c r="F104" s="21"/>
      <c r="G104" s="28"/>
      <c r="H104" s="21"/>
      <c r="I104" s="4"/>
      <c r="J104" s="1"/>
      <c r="K104" s="4"/>
      <c r="L104" s="4"/>
      <c r="M104" s="4"/>
      <c r="N104" s="4"/>
      <c r="O104" s="4"/>
      <c r="P104" s="1" t="s">
        <v>440</v>
      </c>
      <c r="Q104" s="35"/>
      <c r="R104" s="35"/>
      <c r="S104" s="35"/>
      <c r="T104" s="35"/>
      <c r="U104" s="4"/>
      <c r="V104" s="1"/>
      <c r="W104" s="4"/>
      <c r="X104" s="4"/>
      <c r="Y104" s="4"/>
      <c r="Z104" s="4"/>
      <c r="AA104" s="4"/>
      <c r="AB104" s="1"/>
      <c r="AC104" s="4"/>
      <c r="AD104" s="4"/>
      <c r="AE104" s="4"/>
      <c r="AF104" s="4"/>
      <c r="AG104" s="4"/>
      <c r="AH104" s="1"/>
      <c r="AI104" s="4"/>
      <c r="AJ104" s="4"/>
      <c r="AK104" s="4"/>
      <c r="AL104" s="4"/>
      <c r="AM104" s="4"/>
      <c r="AN104" s="1" t="s">
        <v>441</v>
      </c>
      <c r="AO104" s="28"/>
      <c r="AP104" s="21"/>
      <c r="AQ104" s="28"/>
      <c r="AR104" s="21"/>
      <c r="AS104" s="4"/>
      <c r="AT104" s="1" t="s">
        <v>442</v>
      </c>
      <c r="AU104" s="28"/>
      <c r="AV104" s="21"/>
      <c r="AW104" s="28"/>
      <c r="AX104" s="21"/>
      <c r="AY104" s="4"/>
      <c r="AZ104" s="4"/>
      <c r="BA104" s="4"/>
      <c r="BB104" s="4"/>
      <c r="BC104" s="4"/>
      <c r="BD104" s="4"/>
      <c r="BE104" s="4"/>
    </row>
    <row r="105" ht="9.0" customHeight="1">
      <c r="D105" s="1" t="s">
        <v>443</v>
      </c>
      <c r="E105" s="28"/>
      <c r="F105" s="21"/>
      <c r="G105" s="28"/>
      <c r="H105" s="21"/>
      <c r="I105" s="4"/>
      <c r="J105" s="1" t="s">
        <v>444</v>
      </c>
      <c r="K105" s="53"/>
      <c r="L105" s="53"/>
      <c r="M105" s="53"/>
      <c r="N105" s="53"/>
      <c r="O105" s="4"/>
      <c r="P105" s="1" t="s">
        <v>445</v>
      </c>
      <c r="Q105" s="43"/>
      <c r="R105" s="21"/>
      <c r="S105" s="43"/>
      <c r="T105" s="21"/>
      <c r="U105" s="4"/>
      <c r="V105" s="1"/>
      <c r="W105" s="4"/>
      <c r="X105" s="4"/>
      <c r="Y105" s="4"/>
      <c r="Z105" s="4"/>
      <c r="AA105" s="4"/>
      <c r="AB105" s="1"/>
      <c r="AC105" s="4"/>
      <c r="AD105" s="4"/>
      <c r="AE105" s="4"/>
      <c r="AF105" s="4"/>
      <c r="AG105" s="4"/>
      <c r="AH105" s="1"/>
      <c r="AI105" s="4"/>
      <c r="AJ105" s="4"/>
      <c r="AK105" s="4"/>
      <c r="AL105" s="4"/>
      <c r="AM105" s="4"/>
      <c r="AN105" s="1" t="s">
        <v>446</v>
      </c>
      <c r="AO105" s="28"/>
      <c r="AP105" s="21"/>
      <c r="AQ105" s="28"/>
      <c r="AR105" s="21"/>
      <c r="AS105" s="4"/>
      <c r="AT105" s="1" t="s">
        <v>447</v>
      </c>
      <c r="AU105" s="28"/>
      <c r="AV105" s="20"/>
      <c r="AW105" s="28"/>
      <c r="AX105" s="21"/>
      <c r="AY105" s="4"/>
      <c r="AZ105" s="4"/>
      <c r="BA105" s="4"/>
      <c r="BB105" s="4"/>
      <c r="BC105" s="4"/>
      <c r="BD105" s="4"/>
      <c r="BE105" s="4"/>
    </row>
    <row r="106" ht="9.0" customHeight="1">
      <c r="D106" s="1" t="s">
        <v>448</v>
      </c>
      <c r="E106" s="28"/>
      <c r="F106" s="21"/>
      <c r="G106" s="28"/>
      <c r="H106" s="21"/>
      <c r="I106" s="17"/>
      <c r="J106" s="1" t="s">
        <v>449</v>
      </c>
      <c r="K106" s="115"/>
      <c r="L106" s="115"/>
      <c r="M106" s="115"/>
      <c r="N106" s="115"/>
      <c r="O106" s="4"/>
      <c r="P106" s="1" t="s">
        <v>450</v>
      </c>
      <c r="Q106" s="43"/>
      <c r="R106" s="21"/>
      <c r="S106" s="43"/>
      <c r="T106" s="21"/>
      <c r="U106" s="4"/>
      <c r="V106" s="1"/>
      <c r="W106" s="6">
        <f>SUM(W120:Z120)/36</f>
        <v>0</v>
      </c>
      <c r="X106" s="7"/>
      <c r="Y106" s="7"/>
      <c r="Z106" s="7"/>
      <c r="AA106" s="4"/>
      <c r="AB106" s="1"/>
      <c r="AC106" s="4"/>
      <c r="AD106" s="4"/>
      <c r="AE106" s="4"/>
      <c r="AF106" s="4"/>
      <c r="AG106" s="4"/>
      <c r="AH106" s="1"/>
      <c r="AI106" s="4"/>
      <c r="AJ106" s="4"/>
      <c r="AK106" s="4"/>
      <c r="AL106" s="4"/>
      <c r="AM106" s="4"/>
      <c r="AN106" s="1" t="s">
        <v>451</v>
      </c>
      <c r="AO106" s="28"/>
      <c r="AP106" s="21"/>
      <c r="AQ106" s="28"/>
      <c r="AR106" s="21"/>
      <c r="AS106" s="4"/>
      <c r="AT106" s="1" t="s">
        <v>452</v>
      </c>
      <c r="AU106" s="28"/>
      <c r="AV106" s="21"/>
      <c r="AW106" s="28"/>
      <c r="AX106" s="21"/>
      <c r="AY106" s="4"/>
      <c r="AZ106" s="4"/>
      <c r="BA106" s="4"/>
      <c r="BB106" s="4"/>
      <c r="BC106" s="4"/>
      <c r="BD106" s="4"/>
      <c r="BE106" s="4"/>
    </row>
    <row r="107" ht="9.0" customHeight="1">
      <c r="D107" s="1" t="s">
        <v>453</v>
      </c>
      <c r="E107" s="28"/>
      <c r="F107" s="21"/>
      <c r="G107" s="28"/>
      <c r="H107" s="21"/>
      <c r="I107" s="17"/>
      <c r="J107" s="1" t="s">
        <v>454</v>
      </c>
      <c r="K107" s="115"/>
      <c r="L107" s="115"/>
      <c r="M107" s="115"/>
      <c r="N107" s="115"/>
      <c r="O107" s="4"/>
      <c r="P107" s="1" t="s">
        <v>455</v>
      </c>
      <c r="Q107" s="43"/>
      <c r="R107" s="21"/>
      <c r="S107" s="43"/>
      <c r="T107" s="21"/>
      <c r="U107" s="4"/>
      <c r="V107" s="1"/>
      <c r="W107" s="4"/>
      <c r="X107" s="4"/>
      <c r="Y107" s="4"/>
      <c r="Z107" s="4"/>
      <c r="AA107" s="4"/>
      <c r="AB107" s="1"/>
      <c r="AC107" s="4"/>
      <c r="AD107" s="4"/>
      <c r="AE107" s="4"/>
      <c r="AF107" s="4"/>
      <c r="AG107" s="4"/>
      <c r="AH107" s="1"/>
      <c r="AI107" s="4"/>
      <c r="AJ107" s="4"/>
      <c r="AK107" s="4"/>
      <c r="AL107" s="4"/>
      <c r="AM107" s="4"/>
      <c r="AN107" s="1" t="s">
        <v>456</v>
      </c>
      <c r="AO107" s="53"/>
      <c r="AP107" s="53"/>
      <c r="AQ107" s="53"/>
      <c r="AR107" s="53"/>
      <c r="AS107" s="4"/>
      <c r="AT107" s="1" t="s">
        <v>457</v>
      </c>
      <c r="AU107" s="28"/>
      <c r="AV107" s="21"/>
      <c r="AW107" s="28"/>
      <c r="AX107" s="21"/>
      <c r="AY107" s="4"/>
      <c r="AZ107" s="4"/>
      <c r="BA107" s="4"/>
      <c r="BB107" s="4"/>
      <c r="BC107" s="4"/>
      <c r="BD107" s="4"/>
      <c r="BE107" s="4"/>
    </row>
    <row r="108" ht="9.0" customHeight="1">
      <c r="D108" s="1" t="s">
        <v>458</v>
      </c>
      <c r="E108" s="28"/>
      <c r="F108" s="21"/>
      <c r="G108" s="28"/>
      <c r="H108" s="21"/>
      <c r="I108" s="17"/>
      <c r="J108" s="1" t="s">
        <v>459</v>
      </c>
      <c r="K108" s="115"/>
      <c r="L108" s="115"/>
      <c r="M108" s="115"/>
      <c r="N108" s="115"/>
      <c r="O108" s="4"/>
      <c r="P108" s="1" t="s">
        <v>460</v>
      </c>
      <c r="Q108" s="43"/>
      <c r="R108" s="21"/>
      <c r="S108" s="43"/>
      <c r="T108" s="21"/>
      <c r="U108" s="4"/>
      <c r="V108" s="1" t="s">
        <v>461</v>
      </c>
      <c r="W108" s="43"/>
      <c r="X108" s="21"/>
      <c r="Y108" s="43"/>
      <c r="Z108" s="21"/>
      <c r="AA108" s="4"/>
      <c r="AB108" s="1"/>
      <c r="AC108" s="6">
        <f>SUM(AC120:AF120)/24</f>
        <v>0</v>
      </c>
      <c r="AD108" s="7"/>
      <c r="AE108" s="7"/>
      <c r="AF108" s="7"/>
      <c r="AG108" s="4"/>
      <c r="AH108" s="1"/>
      <c r="AI108" s="4"/>
      <c r="AJ108" s="4"/>
      <c r="AK108" s="4"/>
      <c r="AL108" s="4"/>
      <c r="AM108" s="4"/>
      <c r="AN108" s="1" t="s">
        <v>462</v>
      </c>
      <c r="AO108" s="53"/>
      <c r="AP108" s="53"/>
      <c r="AQ108" s="53"/>
      <c r="AR108" s="53"/>
      <c r="AS108" s="4"/>
      <c r="AT108" s="1" t="s">
        <v>463</v>
      </c>
      <c r="AU108" s="28"/>
      <c r="AV108" s="21"/>
      <c r="AW108" s="28"/>
      <c r="AX108" s="21"/>
      <c r="AY108" s="4"/>
      <c r="AZ108" s="4"/>
      <c r="BA108" s="4"/>
      <c r="BB108" s="4"/>
      <c r="BC108" s="4"/>
      <c r="BD108" s="4"/>
      <c r="BE108" s="4"/>
    </row>
    <row r="109" ht="9.0" customHeight="1">
      <c r="D109" s="1" t="s">
        <v>464</v>
      </c>
      <c r="E109" s="28"/>
      <c r="F109" s="21"/>
      <c r="G109" s="28"/>
      <c r="H109" s="21"/>
      <c r="I109" s="17"/>
      <c r="J109" s="1" t="s">
        <v>465</v>
      </c>
      <c r="K109" s="115"/>
      <c r="L109" s="115"/>
      <c r="M109" s="115"/>
      <c r="N109" s="115"/>
      <c r="O109" s="4"/>
      <c r="P109" s="1" t="s">
        <v>466</v>
      </c>
      <c r="Q109" s="35"/>
      <c r="R109" s="35"/>
      <c r="S109" s="35"/>
      <c r="T109" s="35"/>
      <c r="U109" s="4"/>
      <c r="V109" s="1" t="s">
        <v>467</v>
      </c>
      <c r="W109" s="43"/>
      <c r="X109" s="21"/>
      <c r="Y109" s="43"/>
      <c r="Z109" s="21"/>
      <c r="AA109" s="4"/>
      <c r="AB109" s="1"/>
      <c r="AC109" s="4"/>
      <c r="AD109" s="4"/>
      <c r="AE109" s="4"/>
      <c r="AF109" s="4"/>
      <c r="AG109" s="4"/>
      <c r="AH109" s="1"/>
      <c r="AI109" s="4"/>
      <c r="AJ109" s="4"/>
      <c r="AK109" s="4"/>
      <c r="AL109" s="4"/>
      <c r="AM109" s="4"/>
      <c r="AN109" s="1" t="s">
        <v>468</v>
      </c>
      <c r="AO109" s="28"/>
      <c r="AP109" s="21"/>
      <c r="AQ109" s="28"/>
      <c r="AR109" s="21"/>
      <c r="AS109" s="4"/>
      <c r="AT109" s="1" t="s">
        <v>469</v>
      </c>
      <c r="AU109" s="28"/>
      <c r="AV109" s="21"/>
      <c r="AW109" s="28"/>
      <c r="AX109" s="21"/>
      <c r="AY109" s="4"/>
      <c r="AZ109" s="4"/>
      <c r="BA109" s="4"/>
      <c r="BB109" s="4"/>
      <c r="BC109" s="4"/>
      <c r="BD109" s="4"/>
      <c r="BE109" s="4"/>
    </row>
    <row r="110" ht="9.0" customHeight="1">
      <c r="D110" s="1" t="s">
        <v>470</v>
      </c>
      <c r="E110" s="28"/>
      <c r="F110" s="21"/>
      <c r="G110" s="28"/>
      <c r="H110" s="21"/>
      <c r="I110" s="17"/>
      <c r="J110" s="1" t="s">
        <v>471</v>
      </c>
      <c r="K110" s="115"/>
      <c r="L110" s="115"/>
      <c r="M110" s="115"/>
      <c r="N110" s="115"/>
      <c r="O110" s="4"/>
      <c r="P110" s="1" t="s">
        <v>472</v>
      </c>
      <c r="Q110" s="43"/>
      <c r="R110" s="21"/>
      <c r="S110" s="116"/>
      <c r="T110" s="117"/>
      <c r="U110" s="4"/>
      <c r="V110" s="1" t="s">
        <v>473</v>
      </c>
      <c r="W110" s="43"/>
      <c r="X110" s="21"/>
      <c r="Y110" s="43"/>
      <c r="Z110" s="21"/>
      <c r="AA110" s="4"/>
      <c r="AB110" s="1" t="s">
        <v>474</v>
      </c>
      <c r="AC110" s="43"/>
      <c r="AD110" s="21"/>
      <c r="AE110" s="43"/>
      <c r="AF110" s="21"/>
      <c r="AG110" s="4"/>
      <c r="AH110" s="1"/>
      <c r="AI110" s="4"/>
      <c r="AJ110" s="4"/>
      <c r="AK110" s="4"/>
      <c r="AL110" s="4"/>
      <c r="AM110" s="4"/>
      <c r="AN110" s="1" t="s">
        <v>475</v>
      </c>
      <c r="AO110" s="115"/>
      <c r="AP110" s="115"/>
      <c r="AQ110" s="115"/>
      <c r="AR110" s="115"/>
      <c r="AS110" s="4"/>
      <c r="AT110" s="1" t="s">
        <v>476</v>
      </c>
      <c r="AU110" s="28"/>
      <c r="AV110" s="21"/>
      <c r="AW110" s="28"/>
      <c r="AX110" s="21"/>
      <c r="AY110" s="4"/>
      <c r="AZ110" s="4"/>
      <c r="BA110" s="4"/>
      <c r="BB110" s="4"/>
      <c r="BC110" s="4"/>
      <c r="BD110" s="4"/>
      <c r="BE110" s="4"/>
    </row>
    <row r="111" ht="9.0" customHeight="1">
      <c r="D111" s="1" t="s">
        <v>477</v>
      </c>
      <c r="E111" s="28"/>
      <c r="F111" s="21"/>
      <c r="G111" s="28"/>
      <c r="H111" s="21"/>
      <c r="I111" s="17"/>
      <c r="J111" s="1" t="s">
        <v>478</v>
      </c>
      <c r="K111" s="115"/>
      <c r="L111" s="115"/>
      <c r="M111" s="115"/>
      <c r="N111" s="115"/>
      <c r="O111" s="4"/>
      <c r="P111" s="1" t="s">
        <v>479</v>
      </c>
      <c r="Q111" s="43"/>
      <c r="R111" s="21"/>
      <c r="S111" s="43"/>
      <c r="T111" s="21"/>
      <c r="U111" s="4"/>
      <c r="V111" s="1" t="s">
        <v>480</v>
      </c>
      <c r="W111" s="43"/>
      <c r="X111" s="21"/>
      <c r="Y111" s="43"/>
      <c r="Z111" s="21"/>
      <c r="AA111" s="4"/>
      <c r="AB111" s="1" t="s">
        <v>481</v>
      </c>
      <c r="AC111" s="43"/>
      <c r="AD111" s="21"/>
      <c r="AE111" s="43"/>
      <c r="AF111" s="21"/>
      <c r="AG111" s="4"/>
      <c r="AH111" s="1"/>
      <c r="AI111" s="4"/>
      <c r="AJ111" s="4"/>
      <c r="AK111" s="4"/>
      <c r="AL111" s="4"/>
      <c r="AM111" s="4"/>
      <c r="AN111" s="1" t="s">
        <v>482</v>
      </c>
      <c r="AO111" s="43"/>
      <c r="AP111" s="21"/>
      <c r="AQ111" s="43"/>
      <c r="AR111" s="21"/>
      <c r="AS111" s="4"/>
      <c r="AT111" s="1" t="s">
        <v>483</v>
      </c>
      <c r="AU111" s="28"/>
      <c r="AV111" s="21"/>
      <c r="AW111" s="28"/>
      <c r="AX111" s="21"/>
      <c r="AY111" s="4"/>
      <c r="AZ111" s="4"/>
      <c r="BA111" s="4"/>
      <c r="BB111" s="4"/>
      <c r="BC111" s="4"/>
      <c r="BD111" s="4"/>
      <c r="BE111" s="4"/>
    </row>
    <row r="112" ht="9.0" customHeight="1">
      <c r="D112" s="1" t="s">
        <v>484</v>
      </c>
      <c r="E112" s="28"/>
      <c r="F112" s="21"/>
      <c r="G112" s="28"/>
      <c r="H112" s="21"/>
      <c r="I112" s="17"/>
      <c r="J112" s="1" t="s">
        <v>485</v>
      </c>
      <c r="K112" s="115"/>
      <c r="L112" s="115"/>
      <c r="M112" s="115"/>
      <c r="N112" s="115"/>
      <c r="O112" s="4"/>
      <c r="P112" s="1" t="s">
        <v>486</v>
      </c>
      <c r="Q112" s="43"/>
      <c r="R112" s="21"/>
      <c r="S112" s="43"/>
      <c r="T112" s="21"/>
      <c r="U112" s="4"/>
      <c r="V112" s="1" t="s">
        <v>487</v>
      </c>
      <c r="W112" s="43"/>
      <c r="X112" s="21"/>
      <c r="Y112" s="43"/>
      <c r="Z112" s="21"/>
      <c r="AA112" s="4"/>
      <c r="AB112" s="1" t="s">
        <v>488</v>
      </c>
      <c r="AC112" s="43"/>
      <c r="AD112" s="21"/>
      <c r="AE112" s="43"/>
      <c r="AF112" s="21"/>
      <c r="AG112" s="4"/>
      <c r="AH112" s="1"/>
      <c r="AI112" s="6">
        <f>SUM(AI120:AL120)/12</f>
        <v>0</v>
      </c>
      <c r="AJ112" s="7"/>
      <c r="AK112" s="7"/>
      <c r="AL112" s="7"/>
      <c r="AM112" s="4"/>
      <c r="AN112" s="1" t="s">
        <v>489</v>
      </c>
      <c r="AO112" s="43"/>
      <c r="AP112" s="21"/>
      <c r="AQ112" s="43"/>
      <c r="AR112" s="21"/>
      <c r="AS112" s="4"/>
      <c r="AT112" s="1" t="s">
        <v>490</v>
      </c>
      <c r="AU112" s="115"/>
      <c r="AV112" s="115"/>
      <c r="AW112" s="115"/>
      <c r="AX112" s="115"/>
      <c r="AY112" s="4"/>
      <c r="AZ112" s="4"/>
      <c r="BA112" s="4"/>
      <c r="BB112" s="4"/>
      <c r="BC112" s="4"/>
      <c r="BD112" s="4"/>
      <c r="BE112" s="4"/>
    </row>
    <row r="113" ht="9.0" customHeight="1">
      <c r="D113" s="1" t="s">
        <v>491</v>
      </c>
      <c r="E113" s="28"/>
      <c r="F113" s="21"/>
      <c r="G113" s="28"/>
      <c r="H113" s="21"/>
      <c r="I113" s="4"/>
      <c r="J113" s="1" t="s">
        <v>492</v>
      </c>
      <c r="K113" s="115"/>
      <c r="L113" s="115"/>
      <c r="M113" s="115"/>
      <c r="N113" s="115"/>
      <c r="O113" s="4"/>
      <c r="P113" s="1" t="s">
        <v>493</v>
      </c>
      <c r="Q113" s="43"/>
      <c r="R113" s="21"/>
      <c r="S113" s="43"/>
      <c r="T113" s="21"/>
      <c r="U113" s="4"/>
      <c r="V113" s="1" t="s">
        <v>494</v>
      </c>
      <c r="W113" s="43"/>
      <c r="X113" s="21"/>
      <c r="Y113" s="43"/>
      <c r="Z113" s="21"/>
      <c r="AA113" s="4"/>
      <c r="AB113" s="1" t="s">
        <v>495</v>
      </c>
      <c r="AC113" s="35"/>
      <c r="AD113" s="35"/>
      <c r="AE113" s="35"/>
      <c r="AF113" s="35"/>
      <c r="AG113" s="4"/>
      <c r="AH113" s="1"/>
      <c r="AI113" s="4"/>
      <c r="AJ113" s="4"/>
      <c r="AK113" s="4"/>
      <c r="AL113" s="4"/>
      <c r="AM113" s="4"/>
      <c r="AN113" s="1" t="s">
        <v>496</v>
      </c>
      <c r="AO113" s="43"/>
      <c r="AP113" s="21"/>
      <c r="AQ113" s="43"/>
      <c r="AR113" s="21"/>
      <c r="AS113" s="4"/>
      <c r="AT113" s="1" t="s">
        <v>497</v>
      </c>
      <c r="AU113" s="115"/>
      <c r="AV113" s="115"/>
      <c r="AW113" s="115"/>
      <c r="AX113" s="115"/>
      <c r="AY113" s="4"/>
      <c r="AZ113" s="4"/>
      <c r="BA113" s="4"/>
      <c r="BB113" s="4"/>
      <c r="BC113" s="4"/>
      <c r="BD113" s="4"/>
      <c r="BE113" s="4"/>
    </row>
    <row r="114" ht="9.0" customHeight="1">
      <c r="D114" s="1" t="s">
        <v>498</v>
      </c>
      <c r="E114" s="28"/>
      <c r="F114" s="21"/>
      <c r="G114" s="28"/>
      <c r="H114" s="21"/>
      <c r="I114" s="4"/>
      <c r="J114" s="1" t="s">
        <v>499</v>
      </c>
      <c r="K114" s="115"/>
      <c r="L114" s="115"/>
      <c r="M114" s="115"/>
      <c r="N114" s="115"/>
      <c r="O114" s="4"/>
      <c r="P114" s="1" t="s">
        <v>500</v>
      </c>
      <c r="Q114" s="43"/>
      <c r="R114" s="21"/>
      <c r="S114" s="43"/>
      <c r="T114" s="21"/>
      <c r="U114" s="4"/>
      <c r="V114" s="1" t="s">
        <v>501</v>
      </c>
      <c r="W114" s="115"/>
      <c r="X114" s="115"/>
      <c r="Y114" s="115"/>
      <c r="Z114" s="115"/>
      <c r="AA114" s="4"/>
      <c r="AB114" s="1" t="s">
        <v>502</v>
      </c>
      <c r="AC114" s="43"/>
      <c r="AD114" s="21"/>
      <c r="AE114" s="43"/>
      <c r="AF114" s="21"/>
      <c r="AG114" s="4"/>
      <c r="AH114" s="1" t="s">
        <v>503</v>
      </c>
      <c r="AI114" s="43"/>
      <c r="AJ114" s="21"/>
      <c r="AK114" s="43"/>
      <c r="AL114" s="21"/>
      <c r="AM114" s="4"/>
      <c r="AN114" s="1" t="s">
        <v>504</v>
      </c>
      <c r="AO114" s="115"/>
      <c r="AP114" s="115"/>
      <c r="AQ114" s="115"/>
      <c r="AR114" s="115"/>
      <c r="AS114" s="4"/>
      <c r="AT114" s="1" t="s">
        <v>505</v>
      </c>
      <c r="AU114" s="43"/>
      <c r="AV114" s="21"/>
      <c r="AW114" s="43"/>
      <c r="AX114" s="21"/>
      <c r="AY114" s="4"/>
      <c r="AZ114" s="4"/>
      <c r="BA114" s="4"/>
      <c r="BB114" s="4"/>
      <c r="BC114" s="4"/>
      <c r="BD114" s="4"/>
      <c r="BE114" s="4"/>
    </row>
    <row r="115" ht="9.0" customHeight="1">
      <c r="D115" s="1" t="s">
        <v>506</v>
      </c>
      <c r="E115" s="28"/>
      <c r="F115" s="21"/>
      <c r="G115" s="28"/>
      <c r="H115" s="21"/>
      <c r="I115" s="4"/>
      <c r="J115" s="1" t="s">
        <v>507</v>
      </c>
      <c r="K115" s="43"/>
      <c r="L115" s="21"/>
      <c r="M115" s="43"/>
      <c r="N115" s="21"/>
      <c r="O115" s="4"/>
      <c r="P115" s="1" t="s">
        <v>508</v>
      </c>
      <c r="Q115" s="43"/>
      <c r="R115" s="21"/>
      <c r="S115" s="43"/>
      <c r="T115" s="21"/>
      <c r="U115" s="4"/>
      <c r="V115" s="1" t="s">
        <v>509</v>
      </c>
      <c r="W115" s="115"/>
      <c r="X115" s="115"/>
      <c r="Y115" s="115"/>
      <c r="Z115" s="115"/>
      <c r="AA115" s="4"/>
      <c r="AB115" s="1" t="s">
        <v>510</v>
      </c>
      <c r="AC115" s="43"/>
      <c r="AD115" s="21"/>
      <c r="AE115" s="43"/>
      <c r="AF115" s="21"/>
      <c r="AG115" s="4"/>
      <c r="AH115" s="1" t="s">
        <v>511</v>
      </c>
      <c r="AI115" s="43"/>
      <c r="AJ115" s="21"/>
      <c r="AK115" s="43"/>
      <c r="AL115" s="21"/>
      <c r="AM115" s="4"/>
      <c r="AN115" s="1" t="s">
        <v>512</v>
      </c>
      <c r="AO115" s="115"/>
      <c r="AP115" s="115"/>
      <c r="AQ115" s="115"/>
      <c r="AR115" s="115"/>
      <c r="AS115" s="4"/>
      <c r="AT115" s="1" t="s">
        <v>513</v>
      </c>
      <c r="AU115" s="115"/>
      <c r="AV115" s="115"/>
      <c r="AW115" s="115"/>
      <c r="AX115" s="115"/>
      <c r="AY115" s="4"/>
      <c r="AZ115" s="4"/>
      <c r="BA115" s="4"/>
      <c r="BB115" s="4"/>
      <c r="BC115" s="4"/>
      <c r="BD115" s="4"/>
      <c r="BE115" s="4"/>
    </row>
    <row r="116" ht="9.0" customHeight="1">
      <c r="D116" s="1" t="s">
        <v>514</v>
      </c>
      <c r="E116" s="28"/>
      <c r="F116" s="21"/>
      <c r="G116" s="28"/>
      <c r="H116" s="21"/>
      <c r="I116" s="4"/>
      <c r="J116" s="1" t="s">
        <v>515</v>
      </c>
      <c r="K116" s="115"/>
      <c r="L116" s="115"/>
      <c r="M116" s="115"/>
      <c r="N116" s="115"/>
      <c r="O116" s="4"/>
      <c r="P116" s="1" t="s">
        <v>516</v>
      </c>
      <c r="Q116" s="43"/>
      <c r="R116" s="21"/>
      <c r="S116" s="43"/>
      <c r="T116" s="21"/>
      <c r="U116" s="4"/>
      <c r="V116" s="1" t="s">
        <v>517</v>
      </c>
      <c r="W116" s="115"/>
      <c r="X116" s="115"/>
      <c r="Y116" s="115"/>
      <c r="Z116" s="115"/>
      <c r="AA116" s="4"/>
      <c r="AB116" s="1" t="s">
        <v>518</v>
      </c>
      <c r="AC116" s="43"/>
      <c r="AD116" s="21"/>
      <c r="AE116" s="43"/>
      <c r="AF116" s="21"/>
      <c r="AG116" s="4"/>
      <c r="AH116" s="1" t="s">
        <v>519</v>
      </c>
      <c r="AI116" s="43"/>
      <c r="AJ116" s="21"/>
      <c r="AK116" s="43"/>
      <c r="AL116" s="21"/>
      <c r="AM116" s="4"/>
      <c r="AN116" s="1" t="s">
        <v>520</v>
      </c>
      <c r="AO116" s="115"/>
      <c r="AP116" s="115"/>
      <c r="AQ116" s="115"/>
      <c r="AR116" s="115"/>
      <c r="AS116" s="4"/>
      <c r="AT116" s="1" t="s">
        <v>521</v>
      </c>
      <c r="AU116" s="115"/>
      <c r="AV116" s="115"/>
      <c r="AW116" s="115"/>
      <c r="AX116" s="115"/>
      <c r="AY116" s="4"/>
      <c r="AZ116" s="4"/>
      <c r="BA116" s="4"/>
      <c r="BB116" s="4"/>
      <c r="BC116" s="4"/>
      <c r="BD116" s="4"/>
      <c r="BE116" s="4"/>
    </row>
    <row r="117" ht="9.0" customHeight="1">
      <c r="D117" s="1" t="s">
        <v>522</v>
      </c>
      <c r="E117" s="28"/>
      <c r="F117" s="21"/>
      <c r="G117" s="28"/>
      <c r="H117" s="21"/>
      <c r="I117" s="4"/>
      <c r="J117" s="1" t="s">
        <v>523</v>
      </c>
      <c r="K117" s="115"/>
      <c r="L117" s="115"/>
      <c r="M117" s="115"/>
      <c r="N117" s="115"/>
      <c r="O117" s="4"/>
      <c r="P117" s="1" t="s">
        <v>524</v>
      </c>
      <c r="Q117" s="43"/>
      <c r="R117" s="21"/>
      <c r="S117" s="43"/>
      <c r="T117" s="21"/>
      <c r="U117" s="4"/>
      <c r="V117" s="1" t="s">
        <v>525</v>
      </c>
      <c r="W117" s="115"/>
      <c r="X117" s="115"/>
      <c r="Y117" s="115"/>
      <c r="Z117" s="115"/>
      <c r="AA117" s="4"/>
      <c r="AB117" s="1" t="s">
        <v>526</v>
      </c>
      <c r="AC117" s="43"/>
      <c r="AD117" s="21"/>
      <c r="AE117" s="43"/>
      <c r="AF117" s="21"/>
      <c r="AG117" s="4"/>
      <c r="AH117" s="1" t="s">
        <v>527</v>
      </c>
      <c r="AI117" s="43"/>
      <c r="AJ117" s="21"/>
      <c r="AK117" s="43"/>
      <c r="AL117" s="21"/>
      <c r="AM117" s="4"/>
      <c r="AN117" s="1" t="s">
        <v>528</v>
      </c>
      <c r="AO117" s="115"/>
      <c r="AP117" s="115"/>
      <c r="AQ117" s="115"/>
      <c r="AR117" s="115"/>
      <c r="AS117" s="4"/>
      <c r="AT117" s="1" t="s">
        <v>529</v>
      </c>
      <c r="AU117" s="43"/>
      <c r="AV117" s="21"/>
      <c r="AW117" s="43"/>
      <c r="AX117" s="21"/>
      <c r="AY117" s="4"/>
      <c r="AZ117" s="4"/>
      <c r="BA117" s="4"/>
      <c r="BB117" s="4"/>
      <c r="BC117" s="4"/>
      <c r="BD117" s="4"/>
      <c r="BE117" s="4"/>
    </row>
    <row r="118" ht="9.0" customHeight="1">
      <c r="D118" s="1" t="s">
        <v>530</v>
      </c>
      <c r="E118" s="53"/>
      <c r="F118" s="53"/>
      <c r="G118" s="53"/>
      <c r="H118" s="53"/>
      <c r="I118" s="4"/>
      <c r="J118" s="1" t="s">
        <v>531</v>
      </c>
      <c r="K118" s="43"/>
      <c r="L118" s="21"/>
      <c r="M118" s="43"/>
      <c r="N118" s="21"/>
      <c r="O118" s="4"/>
      <c r="P118" s="1" t="s">
        <v>532</v>
      </c>
      <c r="Q118" s="43"/>
      <c r="R118" s="21"/>
      <c r="S118" s="43"/>
      <c r="T118" s="21"/>
      <c r="U118" s="4"/>
      <c r="V118" s="1" t="s">
        <v>533</v>
      </c>
      <c r="W118" s="115"/>
      <c r="X118" s="115"/>
      <c r="Y118" s="115"/>
      <c r="Z118" s="115"/>
      <c r="AA118" s="4"/>
      <c r="AB118" s="1" t="s">
        <v>534</v>
      </c>
      <c r="AC118" s="115"/>
      <c r="AD118" s="115"/>
      <c r="AE118" s="115"/>
      <c r="AF118" s="115"/>
      <c r="AG118" s="4"/>
      <c r="AH118" s="1" t="s">
        <v>535</v>
      </c>
      <c r="AI118" s="43"/>
      <c r="AJ118" s="21"/>
      <c r="AK118" s="43"/>
      <c r="AL118" s="21"/>
      <c r="AM118" s="4"/>
      <c r="AN118" s="1" t="s">
        <v>536</v>
      </c>
      <c r="AO118" s="115"/>
      <c r="AP118" s="115"/>
      <c r="AQ118" s="115"/>
      <c r="AR118" s="115"/>
      <c r="AS118" s="4"/>
      <c r="AT118" s="1" t="s">
        <v>537</v>
      </c>
      <c r="AU118" s="115"/>
      <c r="AV118" s="115"/>
      <c r="AW118" s="115"/>
      <c r="AX118" s="115"/>
      <c r="AY118" s="4"/>
      <c r="AZ118" s="4"/>
      <c r="BA118" s="4"/>
      <c r="BB118" s="4"/>
      <c r="BC118" s="4"/>
      <c r="BD118" s="4"/>
      <c r="BE118" s="4"/>
    </row>
    <row r="119" ht="9.0" customHeight="1">
      <c r="D119" s="1" t="s">
        <v>538</v>
      </c>
      <c r="E119" s="53"/>
      <c r="F119" s="53"/>
      <c r="G119" s="53"/>
      <c r="H119" s="53"/>
      <c r="I119" s="4"/>
      <c r="J119" s="1" t="s">
        <v>539</v>
      </c>
      <c r="K119" s="43"/>
      <c r="L119" s="21"/>
      <c r="M119" s="43"/>
      <c r="N119" s="21"/>
      <c r="O119" s="4"/>
      <c r="P119" s="1" t="s">
        <v>540</v>
      </c>
      <c r="Q119" s="35"/>
      <c r="R119" s="35"/>
      <c r="S119" s="35"/>
      <c r="T119" s="35"/>
      <c r="U119" s="4"/>
      <c r="V119" s="1" t="s">
        <v>541</v>
      </c>
      <c r="W119" s="115"/>
      <c r="X119" s="115"/>
      <c r="Y119" s="115"/>
      <c r="Z119" s="115"/>
      <c r="AA119" s="4"/>
      <c r="AB119" s="1" t="s">
        <v>542</v>
      </c>
      <c r="AC119" s="43"/>
      <c r="AD119" s="21"/>
      <c r="AE119" s="43"/>
      <c r="AF119" s="21"/>
      <c r="AG119" s="4"/>
      <c r="AH119" s="1" t="s">
        <v>543</v>
      </c>
      <c r="AI119" s="43"/>
      <c r="AJ119" s="21"/>
      <c r="AK119" s="43"/>
      <c r="AL119" s="21"/>
      <c r="AM119" s="4"/>
      <c r="AN119" s="1" t="s">
        <v>544</v>
      </c>
      <c r="AO119" s="115"/>
      <c r="AP119" s="115"/>
      <c r="AQ119" s="115"/>
      <c r="AR119" s="115"/>
      <c r="AS119" s="4"/>
      <c r="AT119" s="1" t="s">
        <v>545</v>
      </c>
      <c r="AU119" s="43"/>
      <c r="AV119" s="21"/>
      <c r="AW119" s="43"/>
      <c r="AX119" s="21"/>
      <c r="AY119" s="4"/>
      <c r="AZ119" s="4"/>
      <c r="BA119" s="4"/>
      <c r="BB119" s="4"/>
      <c r="BC119" s="4"/>
      <c r="BD119" s="4"/>
      <c r="BE119" s="4"/>
    </row>
    <row r="120" ht="9.0" customHeight="1">
      <c r="D120" s="1"/>
      <c r="E120" s="108">
        <f t="shared" ref="E120:H120" si="10">COUNT(E100:E119)</f>
        <v>0</v>
      </c>
      <c r="F120" s="108">
        <f t="shared" si="10"/>
        <v>0</v>
      </c>
      <c r="G120" s="108">
        <f t="shared" si="10"/>
        <v>0</v>
      </c>
      <c r="H120" s="108">
        <f t="shared" si="10"/>
        <v>0</v>
      </c>
      <c r="I120" s="108"/>
      <c r="J120" s="107"/>
      <c r="K120" s="108">
        <f t="shared" ref="K120:N120" si="11">COUNT(K105:K119)</f>
        <v>0</v>
      </c>
      <c r="L120" s="108">
        <f t="shared" si="11"/>
        <v>0</v>
      </c>
      <c r="M120" s="108">
        <f t="shared" si="11"/>
        <v>0</v>
      </c>
      <c r="N120" s="108">
        <f t="shared" si="11"/>
        <v>0</v>
      </c>
      <c r="O120" s="108"/>
      <c r="P120" s="107"/>
      <c r="Q120" s="108">
        <f t="shared" ref="Q120:T120" si="12">COUNT(Q86:Q119)</f>
        <v>0</v>
      </c>
      <c r="R120" s="108">
        <f t="shared" si="12"/>
        <v>0</v>
      </c>
      <c r="S120" s="108">
        <f t="shared" si="12"/>
        <v>0</v>
      </c>
      <c r="T120" s="108">
        <f t="shared" si="12"/>
        <v>0</v>
      </c>
      <c r="U120" s="108"/>
      <c r="V120" s="107"/>
      <c r="W120" s="108">
        <f t="shared" ref="W120:Z120" si="13">COUNT(W108:W119)</f>
        <v>0</v>
      </c>
      <c r="X120" s="108">
        <f t="shared" si="13"/>
        <v>0</v>
      </c>
      <c r="Y120" s="108">
        <f t="shared" si="13"/>
        <v>0</v>
      </c>
      <c r="Z120" s="108">
        <f t="shared" si="13"/>
        <v>0</v>
      </c>
      <c r="AA120" s="108"/>
      <c r="AB120" s="107"/>
      <c r="AC120" s="108">
        <f t="shared" ref="AC120:AF120" si="14">COUNT(AC110:AC119)</f>
        <v>0</v>
      </c>
      <c r="AD120" s="108">
        <f t="shared" si="14"/>
        <v>0</v>
      </c>
      <c r="AE120" s="108">
        <f t="shared" si="14"/>
        <v>0</v>
      </c>
      <c r="AF120" s="108">
        <f t="shared" si="14"/>
        <v>0</v>
      </c>
      <c r="AG120" s="108"/>
      <c r="AH120" s="107"/>
      <c r="AI120" s="108">
        <f t="shared" ref="AI120:AL120" si="15">COUNT(AI114:AI119)</f>
        <v>0</v>
      </c>
      <c r="AJ120" s="108">
        <f t="shared" si="15"/>
        <v>0</v>
      </c>
      <c r="AK120" s="108">
        <f t="shared" si="15"/>
        <v>0</v>
      </c>
      <c r="AL120" s="108">
        <f t="shared" si="15"/>
        <v>0</v>
      </c>
      <c r="AM120" s="108"/>
      <c r="AN120" s="107"/>
      <c r="AO120" s="108">
        <f t="shared" ref="AO120:AR120" si="16">COUNT(AO103:AO119)</f>
        <v>0</v>
      </c>
      <c r="AP120" s="108">
        <f t="shared" si="16"/>
        <v>0</v>
      </c>
      <c r="AQ120" s="108">
        <f t="shared" si="16"/>
        <v>0</v>
      </c>
      <c r="AR120" s="108">
        <f t="shared" si="16"/>
        <v>0</v>
      </c>
      <c r="AS120" s="108"/>
      <c r="AT120" s="107"/>
      <c r="AU120" s="108">
        <f t="shared" ref="AU120:AX120" si="17">COUNT(AU91:AU119)</f>
        <v>0</v>
      </c>
      <c r="AV120" s="108">
        <f t="shared" si="17"/>
        <v>0</v>
      </c>
      <c r="AW120" s="108">
        <f t="shared" si="17"/>
        <v>0</v>
      </c>
      <c r="AX120" s="108">
        <f t="shared" si="17"/>
        <v>0</v>
      </c>
      <c r="AY120" s="4"/>
      <c r="AZ120" s="4"/>
      <c r="BA120" s="4"/>
      <c r="BB120" s="4"/>
      <c r="BC120" s="4"/>
      <c r="BD120" s="4"/>
      <c r="BE120" s="4"/>
    </row>
    <row r="121" ht="9.0" customHeight="1">
      <c r="D121" s="1" t="s">
        <v>22</v>
      </c>
      <c r="E121" s="4" t="s">
        <v>546</v>
      </c>
      <c r="F121" s="4"/>
      <c r="G121" s="4"/>
      <c r="H121" s="4"/>
      <c r="I121" s="4"/>
      <c r="J121" s="1" t="s">
        <v>23</v>
      </c>
      <c r="K121" s="4" t="s">
        <v>547</v>
      </c>
      <c r="L121" s="4"/>
      <c r="M121" s="4"/>
      <c r="N121" s="4"/>
      <c r="O121" s="4"/>
      <c r="P121" s="1" t="s">
        <v>24</v>
      </c>
      <c r="Q121" s="4" t="s">
        <v>548</v>
      </c>
      <c r="R121" s="4"/>
      <c r="S121" s="4"/>
      <c r="T121" s="4"/>
      <c r="U121" s="4"/>
      <c r="V121" s="1" t="s">
        <v>25</v>
      </c>
      <c r="W121" s="4" t="s">
        <v>549</v>
      </c>
      <c r="X121" s="4"/>
      <c r="Y121" s="4"/>
      <c r="Z121" s="4"/>
      <c r="AA121" s="4"/>
      <c r="AB121" s="1" t="s">
        <v>26</v>
      </c>
      <c r="AC121" s="4" t="s">
        <v>550</v>
      </c>
      <c r="AD121" s="4"/>
      <c r="AE121" s="4"/>
      <c r="AF121" s="4"/>
      <c r="AG121" s="4"/>
      <c r="AH121" s="1" t="s">
        <v>27</v>
      </c>
      <c r="AI121" s="4" t="s">
        <v>551</v>
      </c>
      <c r="AJ121" s="4"/>
      <c r="AK121" s="4"/>
      <c r="AL121" s="4"/>
      <c r="AM121" s="4"/>
      <c r="AN121" s="1" t="s">
        <v>28</v>
      </c>
      <c r="AO121" s="4" t="s">
        <v>151</v>
      </c>
      <c r="AP121" s="4"/>
      <c r="AQ121" s="4"/>
      <c r="AR121" s="4"/>
      <c r="AS121" s="4"/>
      <c r="AT121" s="1" t="s">
        <v>29</v>
      </c>
      <c r="AU121" s="4" t="s">
        <v>165</v>
      </c>
      <c r="AV121" s="4"/>
      <c r="AW121" s="4"/>
      <c r="AX121" s="4"/>
      <c r="AY121" s="4"/>
      <c r="AZ121" s="4"/>
      <c r="BA121" s="4"/>
      <c r="BB121" s="4"/>
      <c r="BC121" s="4"/>
      <c r="BD121" s="4"/>
      <c r="BE121" s="4"/>
    </row>
    <row r="122" ht="9.0" customHeight="1">
      <c r="D122" s="1"/>
      <c r="E122" s="4" t="s">
        <v>552</v>
      </c>
      <c r="F122" s="4"/>
      <c r="G122" s="4"/>
      <c r="H122" s="4"/>
      <c r="I122" s="4"/>
      <c r="J122" s="1"/>
      <c r="K122" s="4" t="s">
        <v>553</v>
      </c>
      <c r="L122" s="4"/>
      <c r="M122" s="4"/>
      <c r="N122" s="4"/>
      <c r="O122" s="4"/>
      <c r="P122" s="1"/>
      <c r="Q122" s="4" t="s">
        <v>554</v>
      </c>
      <c r="R122" s="4"/>
      <c r="S122" s="4"/>
      <c r="T122" s="4"/>
      <c r="U122" s="4"/>
      <c r="V122" s="1"/>
      <c r="W122" s="4" t="s">
        <v>555</v>
      </c>
      <c r="X122" s="4"/>
      <c r="Y122" s="4"/>
      <c r="Z122" s="4"/>
      <c r="AA122" s="4"/>
      <c r="AB122" s="1"/>
      <c r="AC122" s="4" t="s">
        <v>556</v>
      </c>
      <c r="AD122" s="4"/>
      <c r="AE122" s="4"/>
      <c r="AF122" s="4"/>
      <c r="AG122" s="4"/>
      <c r="AH122" s="1"/>
      <c r="AI122" s="4" t="s">
        <v>557</v>
      </c>
      <c r="AJ122" s="4"/>
      <c r="AK122" s="4"/>
      <c r="AL122" s="4"/>
      <c r="AM122" s="4"/>
      <c r="AN122" s="1"/>
      <c r="AO122" s="4"/>
      <c r="AP122" s="4"/>
      <c r="AQ122" s="4"/>
      <c r="AR122" s="4"/>
      <c r="AS122" s="4"/>
      <c r="AT122" s="1"/>
      <c r="AU122" s="4"/>
      <c r="AV122" s="4"/>
      <c r="AW122" s="4"/>
      <c r="AX122" s="4"/>
      <c r="AY122" s="4"/>
      <c r="AZ122" s="4"/>
      <c r="BA122" s="4"/>
      <c r="BB122" s="4"/>
      <c r="BC122" s="4"/>
      <c r="BD122" s="4"/>
      <c r="BE122" s="4"/>
    </row>
    <row r="123" ht="12.75" customHeight="1">
      <c r="D123" s="1"/>
      <c r="E123" s="4"/>
      <c r="F123" s="4"/>
      <c r="G123" s="4"/>
      <c r="H123" s="4"/>
      <c r="I123" s="4"/>
      <c r="J123" s="1"/>
      <c r="K123" s="4"/>
      <c r="L123" s="4"/>
      <c r="M123" s="4"/>
      <c r="N123" s="4"/>
      <c r="O123" s="4"/>
      <c r="P123" s="1"/>
      <c r="Q123" s="4"/>
      <c r="R123" s="4"/>
      <c r="S123" s="4"/>
      <c r="T123" s="4"/>
      <c r="U123" s="4"/>
      <c r="V123" s="1"/>
      <c r="W123" s="4"/>
      <c r="X123" s="4"/>
      <c r="Y123" s="4"/>
      <c r="Z123" s="4"/>
      <c r="AA123" s="4"/>
      <c r="AB123" s="1"/>
      <c r="AC123" s="4"/>
      <c r="AD123" s="4"/>
      <c r="AE123" s="4"/>
      <c r="AF123" s="4"/>
      <c r="AG123" s="4"/>
      <c r="AH123" s="1"/>
      <c r="AI123" s="4"/>
      <c r="AJ123" s="4"/>
      <c r="AK123" s="4"/>
      <c r="AL123" s="4"/>
      <c r="AM123" s="4"/>
      <c r="AN123" s="1"/>
      <c r="AO123" s="4"/>
      <c r="AP123" s="4"/>
      <c r="AQ123" s="4"/>
      <c r="AR123" s="4"/>
      <c r="AS123" s="4"/>
      <c r="AT123" s="1"/>
      <c r="AU123" s="4"/>
      <c r="AV123" s="4"/>
      <c r="AW123" s="4"/>
      <c r="AX123" s="4"/>
      <c r="AY123" s="4"/>
      <c r="AZ123" s="4"/>
      <c r="BA123" s="4"/>
      <c r="BB123" s="4"/>
      <c r="BC123" s="4"/>
      <c r="BD123" s="4"/>
      <c r="BE123" s="4"/>
    </row>
    <row r="124" ht="12.75" customHeight="1">
      <c r="B124" s="2"/>
      <c r="C124" s="2"/>
      <c r="D124" s="1"/>
      <c r="E124" s="4"/>
      <c r="F124" s="4"/>
      <c r="G124" s="4"/>
      <c r="H124" s="4"/>
      <c r="I124" s="4"/>
      <c r="J124" s="1"/>
      <c r="K124" s="4"/>
      <c r="L124" s="4"/>
      <c r="M124" s="4"/>
      <c r="N124" s="4"/>
      <c r="O124" s="4"/>
      <c r="P124" s="1"/>
      <c r="Q124" s="4"/>
      <c r="R124" s="4"/>
      <c r="S124" s="4"/>
      <c r="T124" s="4"/>
      <c r="U124" s="3" t="s">
        <v>0</v>
      </c>
      <c r="AO124" s="4"/>
      <c r="AP124" s="4"/>
      <c r="AQ124" s="4"/>
      <c r="AR124" s="4"/>
      <c r="AS124" s="4"/>
      <c r="AT124" s="1"/>
      <c r="AU124" s="4"/>
      <c r="AV124" s="4"/>
      <c r="AW124" s="4"/>
      <c r="AX124" s="4"/>
      <c r="AY124" s="4"/>
      <c r="AZ124" s="4"/>
      <c r="BA124" s="4"/>
      <c r="BB124" s="4"/>
      <c r="BC124" s="4"/>
      <c r="BD124" s="4"/>
      <c r="BE124" s="4"/>
    </row>
    <row r="125" ht="12.75" customHeight="1">
      <c r="A125" s="8"/>
      <c r="B125" s="9"/>
      <c r="C125" s="9"/>
      <c r="D125" s="10"/>
      <c r="E125" s="10"/>
      <c r="F125" s="10"/>
      <c r="G125" s="9"/>
      <c r="H125" s="11"/>
      <c r="I125" s="11"/>
      <c r="J125" s="11"/>
      <c r="K125" s="11"/>
      <c r="L125" s="11"/>
      <c r="M125" s="11"/>
      <c r="N125" s="12"/>
      <c r="O125" s="13"/>
      <c r="P125" s="1"/>
      <c r="Q125" s="4"/>
      <c r="R125" s="4"/>
      <c r="S125" s="4"/>
      <c r="T125" s="4"/>
      <c r="U125" s="3" t="s">
        <v>1</v>
      </c>
      <c r="AO125" s="4"/>
      <c r="AP125" s="4"/>
      <c r="AQ125" s="4"/>
      <c r="AR125" s="4"/>
      <c r="AS125" s="4"/>
      <c r="AT125" s="1"/>
      <c r="AU125" s="4"/>
      <c r="AV125" s="4"/>
      <c r="AW125" s="4"/>
      <c r="AX125" s="4"/>
      <c r="AY125" s="4"/>
      <c r="AZ125" s="4"/>
      <c r="BA125" s="4"/>
      <c r="BB125" s="4"/>
      <c r="BC125" s="4"/>
      <c r="BD125" s="4"/>
      <c r="BE125" s="4"/>
    </row>
    <row r="126" ht="9.0" customHeight="1">
      <c r="A126" s="16"/>
      <c r="B126" s="17" t="s">
        <v>3</v>
      </c>
      <c r="C126" s="17"/>
      <c r="D126" s="18"/>
      <c r="E126" s="18"/>
      <c r="F126" s="19" t="str">
        <f>F4</f>
        <v/>
      </c>
      <c r="G126" s="20"/>
      <c r="H126" s="20"/>
      <c r="I126" s="20"/>
      <c r="J126" s="20"/>
      <c r="K126" s="20"/>
      <c r="L126" s="20"/>
      <c r="M126" s="21"/>
      <c r="N126" s="22"/>
      <c r="O126" s="23"/>
      <c r="P126" s="1"/>
      <c r="Q126" s="4"/>
      <c r="R126" s="4"/>
      <c r="S126" s="4"/>
      <c r="T126" s="4"/>
      <c r="U126" s="4"/>
      <c r="V126" s="1"/>
      <c r="W126" s="4"/>
      <c r="X126" s="4"/>
      <c r="Y126" s="4"/>
      <c r="Z126" s="4"/>
      <c r="AA126" s="4"/>
      <c r="AB126" s="1"/>
      <c r="AC126" s="4"/>
      <c r="AD126" s="4"/>
      <c r="AE126" s="4"/>
      <c r="AF126" s="4"/>
      <c r="AG126" s="4"/>
      <c r="AH126" s="1"/>
      <c r="AI126" s="4"/>
      <c r="AJ126" s="4"/>
      <c r="AK126" s="4"/>
      <c r="AL126" s="4"/>
      <c r="AM126" s="4"/>
      <c r="AN126" s="1"/>
      <c r="AO126" s="4"/>
      <c r="AP126" s="4"/>
      <c r="AQ126" s="4"/>
      <c r="AR126" s="4"/>
      <c r="AS126" s="4"/>
      <c r="AT126" s="1"/>
      <c r="AU126" s="4"/>
      <c r="AV126" s="4"/>
      <c r="AW126" s="4"/>
      <c r="AX126" s="4"/>
      <c r="AY126" s="4"/>
      <c r="AZ126" s="4"/>
      <c r="BA126" s="4"/>
      <c r="BB126" s="4"/>
      <c r="BC126" s="4"/>
      <c r="BD126" s="4"/>
      <c r="BE126" s="4"/>
    </row>
    <row r="127" ht="9.0" customHeight="1">
      <c r="A127" s="16"/>
      <c r="B127" s="17"/>
      <c r="C127" s="25"/>
      <c r="D127" s="25"/>
      <c r="E127" s="25"/>
      <c r="F127" s="25"/>
      <c r="G127" s="25"/>
      <c r="H127" s="25"/>
      <c r="I127" s="25"/>
      <c r="J127" s="17"/>
      <c r="K127" s="26"/>
      <c r="L127" s="26"/>
      <c r="M127" s="17"/>
      <c r="N127" s="27"/>
      <c r="O127" s="23"/>
      <c r="P127" s="1"/>
      <c r="Q127" s="4"/>
      <c r="R127" s="4"/>
      <c r="S127" s="4"/>
      <c r="T127" s="4"/>
      <c r="U127" s="4"/>
      <c r="V127" s="1"/>
      <c r="W127" s="4"/>
      <c r="X127" s="4"/>
      <c r="Y127" s="4"/>
      <c r="Z127" s="4"/>
      <c r="AA127" s="4"/>
      <c r="AB127" s="1"/>
      <c r="AC127" s="4"/>
      <c r="AD127" s="4"/>
      <c r="AE127" s="4"/>
      <c r="AF127" s="4"/>
      <c r="AG127" s="4"/>
      <c r="AH127" s="1"/>
      <c r="AI127" s="4"/>
      <c r="AJ127" s="4"/>
      <c r="AK127" s="4"/>
      <c r="AL127" s="4"/>
      <c r="AM127" s="4"/>
      <c r="AN127" s="1"/>
      <c r="AO127" s="4"/>
      <c r="AP127" s="4"/>
      <c r="AQ127" s="4"/>
      <c r="AR127" s="4"/>
      <c r="AS127" s="4"/>
      <c r="AT127" s="1"/>
      <c r="AU127" s="4"/>
      <c r="AV127" s="4"/>
      <c r="AW127" s="4"/>
      <c r="AX127" s="4"/>
      <c r="AY127" s="4"/>
      <c r="AZ127" s="4"/>
      <c r="BA127" s="4"/>
      <c r="BB127" s="4"/>
      <c r="BC127" s="4"/>
      <c r="BD127" s="4"/>
      <c r="BE127" s="4"/>
    </row>
    <row r="128" ht="9.0" customHeight="1">
      <c r="A128" s="16"/>
      <c r="B128" s="2"/>
      <c r="C128" s="2"/>
      <c r="D128" s="1"/>
      <c r="E128" s="2"/>
      <c r="F128" s="2"/>
      <c r="G128" s="2"/>
      <c r="H128" s="2"/>
      <c r="I128" s="2"/>
      <c r="J128" s="1"/>
      <c r="K128" s="2"/>
      <c r="L128" s="2"/>
      <c r="M128" s="2"/>
      <c r="N128" s="33" t="s">
        <v>7</v>
      </c>
      <c r="O128" s="34"/>
      <c r="P128" s="1"/>
      <c r="V128" s="1"/>
      <c r="AB128" s="1"/>
      <c r="AH128" s="1"/>
      <c r="AN128" s="1"/>
      <c r="AT128" s="1"/>
      <c r="AZ128" s="4"/>
    </row>
    <row r="129" ht="9.0" customHeight="1">
      <c r="A129" s="16"/>
      <c r="B129" s="17" t="s">
        <v>38</v>
      </c>
      <c r="C129" s="17"/>
      <c r="D129" s="25"/>
      <c r="E129" s="25"/>
      <c r="F129" s="25"/>
      <c r="G129" s="25"/>
      <c r="H129" s="25"/>
      <c r="I129" s="25" t="s">
        <v>10</v>
      </c>
      <c r="J129" s="25"/>
      <c r="K129" s="17"/>
      <c r="L129" s="17" t="s">
        <v>9</v>
      </c>
      <c r="M129" s="17"/>
      <c r="N129" s="27"/>
      <c r="O129" s="42" t="s">
        <v>39</v>
      </c>
      <c r="P129" s="1"/>
      <c r="V129" s="1"/>
      <c r="AB129" s="1"/>
      <c r="AH129" s="1"/>
      <c r="AN129" s="1"/>
      <c r="AT129" s="1"/>
      <c r="AZ129" s="4"/>
    </row>
    <row r="130" ht="9.0" customHeight="1">
      <c r="A130" s="16"/>
      <c r="B130" s="54" t="str">
        <f>B8</f>
        <v/>
      </c>
      <c r="C130" s="20"/>
      <c r="D130" s="20"/>
      <c r="E130" s="20"/>
      <c r="F130" s="20"/>
      <c r="G130" s="21"/>
      <c r="H130" s="25"/>
      <c r="I130" s="112" t="str">
        <f>I8</f>
        <v/>
      </c>
      <c r="J130" s="21"/>
      <c r="K130" s="56"/>
      <c r="L130" s="57">
        <v>1.0</v>
      </c>
      <c r="M130" s="58"/>
      <c r="N130" s="45"/>
      <c r="O130" s="113">
        <f>countif(E171:H180,1)+countif(K174:N180,1)+countif(Q166:T180,1)+countif(W171:Z180,1)+countif(AC174:AF180,1)+countif(AI171:AL180,1)+countif(AO151:AR180,1)+countif(AU153:AX180,1)</f>
        <v>0</v>
      </c>
      <c r="P130" s="1"/>
      <c r="V130" s="1"/>
      <c r="AB130" s="1"/>
      <c r="AH130" s="1"/>
      <c r="AN130" s="1"/>
      <c r="AT130" s="1"/>
      <c r="AZ130" s="4"/>
    </row>
    <row r="131" ht="9.0" customHeight="1">
      <c r="A131" s="16"/>
      <c r="B131" s="17"/>
      <c r="C131" s="17"/>
      <c r="D131" s="25"/>
      <c r="E131" s="25"/>
      <c r="F131" s="25"/>
      <c r="G131" s="25"/>
      <c r="H131" s="25"/>
      <c r="I131" s="25"/>
      <c r="J131" s="25"/>
      <c r="K131" s="17"/>
      <c r="L131" s="17"/>
      <c r="M131" s="17"/>
      <c r="N131" s="27"/>
      <c r="O131" s="23"/>
      <c r="P131" s="1"/>
      <c r="V131" s="1"/>
      <c r="AB131" s="1"/>
      <c r="AH131" s="1"/>
      <c r="AN131" s="1"/>
      <c r="AT131" s="1"/>
      <c r="AZ131" s="4"/>
    </row>
    <row r="132" ht="9.0" customHeight="1">
      <c r="A132" s="16"/>
      <c r="B132" s="17" t="s">
        <v>38</v>
      </c>
      <c r="C132" s="17"/>
      <c r="D132" s="25"/>
      <c r="E132" s="25"/>
      <c r="F132" s="25"/>
      <c r="G132" s="25"/>
      <c r="H132" s="25"/>
      <c r="I132" s="25" t="s">
        <v>10</v>
      </c>
      <c r="J132" s="25"/>
      <c r="K132" s="17"/>
      <c r="L132" s="17" t="s">
        <v>9</v>
      </c>
      <c r="M132" s="17"/>
      <c r="N132" s="27"/>
      <c r="O132" s="60"/>
      <c r="P132" s="1"/>
      <c r="V132" s="1"/>
      <c r="AB132" s="1"/>
      <c r="AH132" s="1"/>
      <c r="AN132" s="1"/>
      <c r="AT132" s="1"/>
      <c r="AZ132" s="4"/>
    </row>
    <row r="133" ht="9.0" customHeight="1">
      <c r="A133" s="16"/>
      <c r="B133" s="54" t="str">
        <f>B11</f>
        <v/>
      </c>
      <c r="C133" s="20"/>
      <c r="D133" s="20"/>
      <c r="E133" s="20"/>
      <c r="F133" s="20"/>
      <c r="G133" s="21"/>
      <c r="H133" s="25"/>
      <c r="I133" s="112" t="str">
        <f>I11</f>
        <v/>
      </c>
      <c r="J133" s="21"/>
      <c r="K133" s="56"/>
      <c r="L133" s="57">
        <v>2.0</v>
      </c>
      <c r="M133" s="62"/>
      <c r="N133" s="45"/>
      <c r="O133" s="118">
        <f>countif(E171:H180,2)+countif(K174:N180,2)+countif(Q166:T180,2)+countif(W171:Z180,2)+countif(AC174:AF180,2)+countif(AI171:AL180,2)+countif(AO151:AR180,2)+countif(AU153:AX180,2)+O130</f>
        <v>0</v>
      </c>
      <c r="P133" s="1"/>
      <c r="V133" s="1"/>
      <c r="AB133" s="1"/>
      <c r="AH133" s="1"/>
      <c r="AN133" s="1"/>
      <c r="AT133" s="1"/>
      <c r="AZ133" s="4"/>
    </row>
    <row r="134" ht="9.0" customHeight="1">
      <c r="A134" s="16"/>
      <c r="B134" s="17"/>
      <c r="C134" s="17"/>
      <c r="D134" s="25"/>
      <c r="G134" s="17"/>
      <c r="H134" s="64"/>
      <c r="J134" s="65"/>
      <c r="K134" s="56"/>
      <c r="L134" s="56"/>
      <c r="M134" s="17"/>
      <c r="N134" s="27"/>
      <c r="O134" s="23"/>
      <c r="P134" s="1"/>
      <c r="V134" s="1"/>
      <c r="AB134" s="1"/>
      <c r="AH134" s="1"/>
      <c r="AN134" s="1"/>
      <c r="AT134" s="1"/>
      <c r="AZ134" s="4"/>
    </row>
    <row r="135" ht="9.0" customHeight="1">
      <c r="A135" s="16"/>
      <c r="B135" s="17" t="s">
        <v>38</v>
      </c>
      <c r="C135" s="17"/>
      <c r="D135" s="25"/>
      <c r="E135" s="25"/>
      <c r="F135" s="25"/>
      <c r="G135" s="25"/>
      <c r="H135" s="25"/>
      <c r="I135" s="25" t="s">
        <v>10</v>
      </c>
      <c r="J135" s="25"/>
      <c r="K135" s="17"/>
      <c r="L135" s="17" t="s">
        <v>9</v>
      </c>
      <c r="M135" s="17"/>
      <c r="N135" s="27"/>
      <c r="O135" s="60"/>
      <c r="P135" s="1"/>
      <c r="V135" s="1"/>
      <c r="AB135" s="1"/>
      <c r="AH135" s="1"/>
      <c r="AN135" s="1"/>
      <c r="AT135" s="1"/>
      <c r="AZ135" s="4"/>
    </row>
    <row r="136" ht="9.0" customHeight="1">
      <c r="A136" s="16"/>
      <c r="B136" s="54" t="str">
        <f>B14</f>
        <v/>
      </c>
      <c r="C136" s="20"/>
      <c r="D136" s="20"/>
      <c r="E136" s="20"/>
      <c r="F136" s="20"/>
      <c r="G136" s="21"/>
      <c r="H136" s="25"/>
      <c r="I136" s="112" t="str">
        <f>I14</f>
        <v/>
      </c>
      <c r="J136" s="21"/>
      <c r="K136" s="56"/>
      <c r="L136" s="57">
        <v>3.0</v>
      </c>
      <c r="M136" s="68"/>
      <c r="N136" s="45"/>
      <c r="O136" s="59">
        <f>countif(E171:H180,3)+countif(K174:N180,3)+countif(Q166:T180,3)+countif(W171:Z180,3)+countif(AC174:AF180,3)+countif(AI171:AL180,3)+countif(AO151:AR180,3)+countif(AU153:AX180,3)+O133</f>
        <v>0</v>
      </c>
      <c r="P136" s="1"/>
      <c r="V136" s="1"/>
      <c r="AB136" s="1"/>
      <c r="AH136" s="1"/>
      <c r="AN136" s="1"/>
      <c r="AT136" s="1"/>
      <c r="AZ136" s="4"/>
    </row>
    <row r="137" ht="9.0" customHeight="1">
      <c r="A137" s="16"/>
      <c r="B137" s="17"/>
      <c r="C137" s="17"/>
      <c r="D137" s="69"/>
      <c r="N137" s="27"/>
      <c r="O137" s="23"/>
      <c r="P137" s="1"/>
      <c r="V137" s="1"/>
      <c r="AB137" s="1"/>
      <c r="AH137" s="1"/>
      <c r="AN137" s="1"/>
      <c r="AT137" s="1"/>
      <c r="AZ137" s="4"/>
    </row>
    <row r="138" ht="9.0" customHeight="1">
      <c r="A138" s="16"/>
      <c r="B138" s="17" t="s">
        <v>38</v>
      </c>
      <c r="C138" s="17"/>
      <c r="D138" s="25"/>
      <c r="E138" s="25"/>
      <c r="F138" s="25"/>
      <c r="G138" s="25"/>
      <c r="H138" s="25"/>
      <c r="I138" s="25" t="s">
        <v>10</v>
      </c>
      <c r="J138" s="25"/>
      <c r="K138" s="17"/>
      <c r="L138" s="17" t="s">
        <v>9</v>
      </c>
      <c r="M138" s="17"/>
      <c r="N138" s="27"/>
      <c r="O138" s="60"/>
      <c r="P138" s="1"/>
      <c r="V138" s="1"/>
      <c r="AB138" s="1"/>
      <c r="AH138" s="1"/>
      <c r="AN138" s="1"/>
      <c r="AT138" s="1"/>
      <c r="AZ138" s="4"/>
    </row>
    <row r="139" ht="9.0" customHeight="1">
      <c r="A139" s="16"/>
      <c r="B139" s="54" t="str">
        <f>B17</f>
        <v/>
      </c>
      <c r="C139" s="20"/>
      <c r="D139" s="20"/>
      <c r="E139" s="20"/>
      <c r="F139" s="20"/>
      <c r="G139" s="21"/>
      <c r="H139" s="25"/>
      <c r="I139" s="112" t="str">
        <f>I17</f>
        <v/>
      </c>
      <c r="J139" s="21"/>
      <c r="K139" s="56"/>
      <c r="L139" s="57">
        <v>4.0</v>
      </c>
      <c r="M139" s="71"/>
      <c r="N139" s="45"/>
      <c r="O139" s="59">
        <f>countif(E171:H180,4)+countif(K174:N180,4)+countif(Q166:T180,4)+countif(W171:Z180,4)+countif(AC174:AF180,4)+countif(AI171:AL180,4)+countif(AO151:AR180,4)+countif(AU153:AX180,4)+O136</f>
        <v>0</v>
      </c>
      <c r="P139" s="1"/>
      <c r="V139" s="1"/>
      <c r="AB139" s="1"/>
      <c r="AH139" s="1"/>
      <c r="AN139" s="1"/>
      <c r="AT139" s="1"/>
      <c r="AZ139" s="4"/>
    </row>
    <row r="140" ht="9.0" customHeight="1">
      <c r="A140" s="16"/>
      <c r="B140" s="17"/>
      <c r="C140" s="17"/>
      <c r="D140" s="65"/>
      <c r="E140" s="17"/>
      <c r="F140" s="17"/>
      <c r="G140" s="17"/>
      <c r="H140" s="17"/>
      <c r="I140" s="17"/>
      <c r="J140" s="65"/>
      <c r="K140" s="17"/>
      <c r="L140" s="17"/>
      <c r="M140" s="17"/>
      <c r="N140" s="27"/>
      <c r="O140" s="23"/>
      <c r="P140" s="1"/>
      <c r="V140" s="1"/>
      <c r="AB140" s="1"/>
      <c r="AH140" s="1"/>
      <c r="AN140" s="1"/>
      <c r="AT140" s="1"/>
      <c r="AZ140" s="4"/>
    </row>
    <row r="141" ht="9.0" customHeight="1">
      <c r="A141" s="16"/>
      <c r="B141" s="17" t="s">
        <v>38</v>
      </c>
      <c r="C141" s="17"/>
      <c r="D141" s="25"/>
      <c r="E141" s="25"/>
      <c r="F141" s="25"/>
      <c r="G141" s="25"/>
      <c r="H141" s="25"/>
      <c r="I141" s="25" t="s">
        <v>10</v>
      </c>
      <c r="J141" s="25"/>
      <c r="K141" s="17"/>
      <c r="L141" s="17" t="s">
        <v>9</v>
      </c>
      <c r="M141" s="17"/>
      <c r="N141" s="27"/>
      <c r="O141" s="60"/>
      <c r="P141" s="1"/>
      <c r="V141" s="1"/>
      <c r="AB141" s="1"/>
      <c r="AH141" s="1"/>
      <c r="AN141" s="1"/>
      <c r="AT141" s="1"/>
      <c r="AZ141" s="4"/>
    </row>
    <row r="142" ht="9.0" customHeight="1">
      <c r="A142" s="16"/>
      <c r="B142" s="54" t="str">
        <f>B20</f>
        <v/>
      </c>
      <c r="C142" s="20"/>
      <c r="D142" s="20"/>
      <c r="E142" s="20"/>
      <c r="F142" s="20"/>
      <c r="G142" s="21"/>
      <c r="H142" s="25"/>
      <c r="I142" s="112" t="str">
        <f>I20</f>
        <v/>
      </c>
      <c r="J142" s="21"/>
      <c r="K142" s="56"/>
      <c r="L142" s="57">
        <v>5.0</v>
      </c>
      <c r="M142" s="73"/>
      <c r="N142" s="45"/>
      <c r="O142" s="59">
        <f>countif(E171:H180,5)+countif(K174:N180,5)+countif(Q166:T180,5)+countif(W171:Z180,5)+countif(AC174:AF180,5)+countif(AI171:AL180,5)+countif(AO151:AR180,5)+countif(AU153:AX180,5)+O139</f>
        <v>0</v>
      </c>
      <c r="P142" s="1"/>
      <c r="V142" s="1"/>
      <c r="AB142" s="1"/>
      <c r="AH142" s="1"/>
      <c r="AN142" s="1"/>
      <c r="AT142" s="1"/>
      <c r="AZ142" s="4"/>
    </row>
    <row r="143" ht="9.0" customHeight="1">
      <c r="A143" s="16"/>
      <c r="B143" s="17"/>
      <c r="C143" s="17"/>
      <c r="D143" s="65"/>
      <c r="E143" s="17"/>
      <c r="F143" s="17"/>
      <c r="G143" s="17"/>
      <c r="H143" s="17"/>
      <c r="I143" s="17"/>
      <c r="J143" s="65"/>
      <c r="K143" s="17"/>
      <c r="L143" s="17"/>
      <c r="M143" s="17"/>
      <c r="N143" s="27"/>
      <c r="O143" s="23"/>
      <c r="P143" s="1"/>
      <c r="V143" s="1"/>
      <c r="AB143" s="1"/>
      <c r="AH143" s="1"/>
      <c r="AN143" s="1"/>
      <c r="AT143" s="1"/>
      <c r="AZ143" s="4"/>
    </row>
    <row r="144" ht="9.0" customHeight="1">
      <c r="A144" s="16"/>
      <c r="B144" s="17" t="s">
        <v>38</v>
      </c>
      <c r="C144" s="17"/>
      <c r="D144" s="25"/>
      <c r="E144" s="25"/>
      <c r="F144" s="25"/>
      <c r="G144" s="25"/>
      <c r="H144" s="25"/>
      <c r="I144" s="25" t="s">
        <v>10</v>
      </c>
      <c r="J144" s="25"/>
      <c r="K144" s="17"/>
      <c r="L144" s="17" t="s">
        <v>9</v>
      </c>
      <c r="M144" s="17"/>
      <c r="N144" s="27"/>
      <c r="O144" s="60"/>
      <c r="P144" s="1"/>
      <c r="V144" s="1"/>
      <c r="AB144" s="1"/>
      <c r="AH144" s="1"/>
      <c r="AN144" s="1"/>
      <c r="AT144" s="1"/>
      <c r="AZ144" s="4"/>
    </row>
    <row r="145" ht="9.0" customHeight="1">
      <c r="A145" s="16"/>
      <c r="B145" s="54" t="str">
        <f>B23</f>
        <v/>
      </c>
      <c r="C145" s="20"/>
      <c r="D145" s="20"/>
      <c r="E145" s="20"/>
      <c r="F145" s="20"/>
      <c r="G145" s="21"/>
      <c r="H145" s="25"/>
      <c r="I145" s="112" t="str">
        <f>I23</f>
        <v/>
      </c>
      <c r="J145" s="21"/>
      <c r="K145" s="56"/>
      <c r="L145" s="57">
        <v>6.0</v>
      </c>
      <c r="M145" s="77"/>
      <c r="N145" s="45"/>
      <c r="O145" s="59">
        <f>countif(E171:H180,6)+countif(K174:N180,6)+countif(Q166:T180,6)+countif(W171:Z180,6)+countif(AC174:AF180,6)+countif(AI171:AL180,6)+countif(AO151:AR180,6)+countif(AU153:AX180,6)+O142</f>
        <v>0</v>
      </c>
      <c r="P145" s="1"/>
      <c r="V145" s="1"/>
      <c r="AB145" s="1"/>
      <c r="AH145" s="1"/>
      <c r="AN145" s="1"/>
      <c r="AT145" s="1"/>
      <c r="AZ145" s="4"/>
    </row>
    <row r="146" ht="9.0" customHeight="1">
      <c r="A146" s="16"/>
      <c r="B146" s="17"/>
      <c r="C146" s="17"/>
      <c r="D146" s="65"/>
      <c r="E146" s="17"/>
      <c r="F146" s="17"/>
      <c r="G146" s="17"/>
      <c r="H146" s="17"/>
      <c r="I146" s="17"/>
      <c r="J146" s="65"/>
      <c r="K146" s="17"/>
      <c r="L146" s="17"/>
      <c r="M146" s="17"/>
      <c r="N146" s="27"/>
      <c r="O146" s="23"/>
      <c r="P146" s="1"/>
      <c r="V146" s="1"/>
      <c r="AB146" s="1"/>
      <c r="AH146" s="1"/>
      <c r="AN146" s="1"/>
      <c r="AT146" s="1"/>
      <c r="AZ146" s="4"/>
    </row>
    <row r="147" ht="9.0" customHeight="1">
      <c r="A147" s="16"/>
      <c r="B147" s="80" t="s">
        <v>85</v>
      </c>
      <c r="C147" s="80"/>
      <c r="D147" s="81"/>
      <c r="E147" s="80"/>
      <c r="F147" s="80"/>
      <c r="G147" s="80"/>
      <c r="H147" s="80"/>
      <c r="I147" s="80"/>
      <c r="J147" s="81"/>
      <c r="K147" s="80"/>
      <c r="L147" s="80"/>
      <c r="M147" s="80"/>
      <c r="N147" s="27"/>
      <c r="O147" s="23"/>
      <c r="P147" s="1"/>
      <c r="V147" s="1"/>
      <c r="AB147" s="1"/>
      <c r="AH147" s="1"/>
      <c r="AN147" s="1"/>
      <c r="AT147" s="1"/>
      <c r="AZ147" s="4"/>
    </row>
    <row r="148" ht="9.0" customHeight="1">
      <c r="A148" s="16"/>
      <c r="B148" s="80" t="s">
        <v>89</v>
      </c>
      <c r="C148" s="80"/>
      <c r="D148" s="81"/>
      <c r="E148" s="80"/>
      <c r="F148" s="80"/>
      <c r="G148" s="80"/>
      <c r="H148" s="80"/>
      <c r="I148" s="80"/>
      <c r="J148" s="81"/>
      <c r="K148" s="80"/>
      <c r="L148" s="80"/>
      <c r="M148" s="80"/>
      <c r="N148" s="27"/>
      <c r="O148" s="23"/>
      <c r="P148" s="1"/>
      <c r="V148" s="1"/>
      <c r="AB148" s="1"/>
      <c r="AH148" s="1"/>
      <c r="AN148" s="1"/>
      <c r="AT148" s="1"/>
      <c r="AZ148" s="4"/>
    </row>
    <row r="149" ht="9.0" customHeight="1">
      <c r="A149" s="16"/>
      <c r="B149" s="80" t="s">
        <v>93</v>
      </c>
      <c r="C149" s="80"/>
      <c r="D149" s="81"/>
      <c r="E149" s="80"/>
      <c r="F149" s="80"/>
      <c r="G149" s="80"/>
      <c r="H149" s="80"/>
      <c r="I149" s="80"/>
      <c r="J149" s="81"/>
      <c r="K149" s="80"/>
      <c r="L149" s="80"/>
      <c r="M149" s="80"/>
      <c r="N149" s="27"/>
      <c r="O149" s="23"/>
      <c r="P149" s="1"/>
      <c r="V149" s="1"/>
      <c r="AB149" s="1"/>
      <c r="AH149" s="1"/>
      <c r="AN149" s="1"/>
      <c r="AO149" s="6">
        <f>SUM(AO181:AR181)/30</f>
        <v>0</v>
      </c>
      <c r="AP149" s="7"/>
      <c r="AQ149" s="7"/>
      <c r="AR149" s="7"/>
      <c r="AT149" s="1"/>
      <c r="AZ149" s="4"/>
    </row>
    <row r="150" ht="9.0" customHeight="1">
      <c r="A150" s="82"/>
      <c r="B150" s="83"/>
      <c r="C150" s="83"/>
      <c r="D150" s="84"/>
      <c r="E150" s="83"/>
      <c r="F150" s="83"/>
      <c r="G150" s="83"/>
      <c r="H150" s="83"/>
      <c r="I150" s="83"/>
      <c r="J150" s="84"/>
      <c r="K150" s="83"/>
      <c r="L150" s="83"/>
      <c r="M150" s="83"/>
      <c r="N150" s="85"/>
      <c r="O150" s="86"/>
      <c r="P150" s="1"/>
      <c r="V150" s="1"/>
      <c r="AB150" s="1"/>
      <c r="AH150" s="1"/>
      <c r="AN150" s="1"/>
      <c r="AT150" s="1"/>
      <c r="AZ150" s="4"/>
    </row>
    <row r="151" ht="9.0" customHeight="1">
      <c r="D151" s="1"/>
      <c r="J151" s="1"/>
      <c r="K151" s="2"/>
      <c r="L151" s="2"/>
      <c r="M151" s="2"/>
      <c r="N151" s="2"/>
      <c r="P151" s="1"/>
      <c r="V151" s="1"/>
      <c r="AB151" s="1"/>
      <c r="AH151" s="1"/>
      <c r="AN151" s="1" t="s">
        <v>558</v>
      </c>
      <c r="AO151" s="28"/>
      <c r="AP151" s="20"/>
      <c r="AQ151" s="20"/>
      <c r="AR151" s="21"/>
      <c r="AS151" s="119"/>
      <c r="AT151" s="1"/>
      <c r="AU151" s="6">
        <f>SUM(AU181:AZ181)/28</f>
        <v>0</v>
      </c>
      <c r="AV151" s="7"/>
      <c r="AW151" s="7"/>
      <c r="AX151" s="7"/>
      <c r="AY151" s="119"/>
      <c r="AZ151" s="4"/>
    </row>
    <row r="152" ht="9.0" customHeight="1">
      <c r="D152" s="1"/>
      <c r="J152" s="1"/>
      <c r="P152" s="1"/>
      <c r="V152" s="1"/>
      <c r="AB152" s="1"/>
      <c r="AH152" s="1"/>
      <c r="AN152" s="1" t="s">
        <v>559</v>
      </c>
      <c r="AO152" s="28"/>
      <c r="AP152" s="20"/>
      <c r="AQ152" s="20"/>
      <c r="AR152" s="21"/>
      <c r="AS152" s="120"/>
      <c r="AT152" s="1"/>
      <c r="AY152" s="119"/>
      <c r="AZ152" s="4"/>
    </row>
    <row r="153" ht="9.0" customHeight="1">
      <c r="D153" s="1"/>
      <c r="J153" s="1"/>
      <c r="P153" s="1"/>
      <c r="V153" s="1"/>
      <c r="AB153" s="1"/>
      <c r="AH153" s="1"/>
      <c r="AN153" s="1" t="s">
        <v>560</v>
      </c>
      <c r="AO153" s="43"/>
      <c r="AP153" s="20"/>
      <c r="AQ153" s="20"/>
      <c r="AR153" s="21"/>
      <c r="AS153" s="120"/>
      <c r="AT153" s="1" t="s">
        <v>561</v>
      </c>
      <c r="AU153" s="43"/>
      <c r="AV153" s="20"/>
      <c r="AW153" s="20"/>
      <c r="AX153" s="21"/>
      <c r="AY153" s="119"/>
      <c r="AZ153" s="4"/>
    </row>
    <row r="154" ht="9.0" customHeight="1">
      <c r="D154" s="1"/>
      <c r="J154" s="1"/>
      <c r="P154" s="1"/>
      <c r="V154" s="1"/>
      <c r="AB154" s="1"/>
      <c r="AH154" s="1"/>
      <c r="AN154" s="1" t="s">
        <v>562</v>
      </c>
      <c r="AO154" s="43"/>
      <c r="AP154" s="20"/>
      <c r="AQ154" s="20"/>
      <c r="AR154" s="21"/>
      <c r="AS154" s="119"/>
      <c r="AT154" s="1" t="s">
        <v>563</v>
      </c>
      <c r="AU154" s="43"/>
      <c r="AV154" s="20"/>
      <c r="AW154" s="20"/>
      <c r="AX154" s="21"/>
      <c r="AY154" s="119"/>
      <c r="AZ154" s="4"/>
    </row>
    <row r="155" ht="9.0" customHeight="1">
      <c r="D155" s="1"/>
      <c r="J155" s="1"/>
      <c r="P155" s="1"/>
      <c r="V155" s="1"/>
      <c r="AB155" s="1"/>
      <c r="AH155" s="1"/>
      <c r="AN155" s="1" t="s">
        <v>564</v>
      </c>
      <c r="AO155" s="43"/>
      <c r="AP155" s="20"/>
      <c r="AQ155" s="20"/>
      <c r="AR155" s="21"/>
      <c r="AS155" s="120"/>
      <c r="AT155" s="1" t="s">
        <v>565</v>
      </c>
      <c r="AU155" s="43"/>
      <c r="AV155" s="20"/>
      <c r="AW155" s="20"/>
      <c r="AX155" s="21"/>
      <c r="AY155" s="119"/>
      <c r="AZ155" s="4"/>
    </row>
    <row r="156" ht="9.0" customHeight="1">
      <c r="D156" s="1"/>
      <c r="J156" s="1"/>
      <c r="P156" s="1"/>
      <c r="V156" s="1"/>
      <c r="AB156" s="1"/>
      <c r="AH156" s="1"/>
      <c r="AN156" s="1" t="s">
        <v>566</v>
      </c>
      <c r="AO156" s="43"/>
      <c r="AP156" s="20"/>
      <c r="AQ156" s="20"/>
      <c r="AR156" s="21"/>
      <c r="AS156" s="120"/>
      <c r="AT156" s="1" t="s">
        <v>567</v>
      </c>
      <c r="AU156" s="43"/>
      <c r="AV156" s="20"/>
      <c r="AW156" s="20"/>
      <c r="AX156" s="21"/>
      <c r="AY156" s="119"/>
      <c r="AZ156" s="4"/>
    </row>
    <row r="157" ht="9.0" customHeight="1">
      <c r="D157" s="1"/>
      <c r="J157" s="1"/>
      <c r="P157" s="1"/>
      <c r="V157" s="1"/>
      <c r="AB157" s="1"/>
      <c r="AH157" s="1"/>
      <c r="AN157" s="1" t="s">
        <v>568</v>
      </c>
      <c r="AO157" s="43"/>
      <c r="AP157" s="20"/>
      <c r="AQ157" s="20"/>
      <c r="AR157" s="21"/>
      <c r="AS157" s="120"/>
      <c r="AT157" s="1" t="s">
        <v>569</v>
      </c>
      <c r="AU157" s="43"/>
      <c r="AV157" s="20"/>
      <c r="AW157" s="20"/>
      <c r="AX157" s="21"/>
      <c r="AY157" s="119"/>
      <c r="AZ157" s="4"/>
    </row>
    <row r="158" ht="9.0" customHeight="1">
      <c r="D158" s="1"/>
      <c r="J158" s="1"/>
      <c r="P158" s="1"/>
      <c r="V158" s="1"/>
      <c r="AB158" s="1"/>
      <c r="AH158" s="1"/>
      <c r="AN158" s="1" t="s">
        <v>570</v>
      </c>
      <c r="AO158" s="43"/>
      <c r="AP158" s="20"/>
      <c r="AQ158" s="20"/>
      <c r="AR158" s="21"/>
      <c r="AS158" s="120"/>
      <c r="AT158" s="1" t="s">
        <v>571</v>
      </c>
      <c r="AU158" s="43"/>
      <c r="AV158" s="20"/>
      <c r="AW158" s="20"/>
      <c r="AX158" s="21"/>
      <c r="AY158" s="119"/>
      <c r="AZ158" s="4"/>
    </row>
    <row r="159" ht="9.0" customHeight="1">
      <c r="D159" s="1"/>
      <c r="J159" s="1"/>
      <c r="P159" s="1"/>
      <c r="V159" s="1"/>
      <c r="AB159" s="1"/>
      <c r="AH159" s="1"/>
      <c r="AN159" s="1" t="s">
        <v>572</v>
      </c>
      <c r="AO159" s="43"/>
      <c r="AP159" s="20"/>
      <c r="AQ159" s="20"/>
      <c r="AR159" s="21"/>
      <c r="AS159" s="120"/>
      <c r="AT159" s="1" t="s">
        <v>573</v>
      </c>
      <c r="AU159" s="43"/>
      <c r="AV159" s="20"/>
      <c r="AW159" s="20"/>
      <c r="AX159" s="21"/>
      <c r="AY159" s="119"/>
      <c r="AZ159" s="4"/>
    </row>
    <row r="160" ht="9.0" customHeight="1">
      <c r="D160" s="1"/>
      <c r="J160" s="1"/>
      <c r="P160" s="1"/>
      <c r="V160" s="1"/>
      <c r="AB160" s="1"/>
      <c r="AH160" s="1"/>
      <c r="AN160" s="1" t="s">
        <v>574</v>
      </c>
      <c r="AO160" s="43"/>
      <c r="AP160" s="20"/>
      <c r="AQ160" s="20"/>
      <c r="AR160" s="21"/>
      <c r="AS160" s="119"/>
      <c r="AT160" s="1" t="s">
        <v>575</v>
      </c>
      <c r="AU160" s="43"/>
      <c r="AV160" s="20"/>
      <c r="AW160" s="20"/>
      <c r="AX160" s="21"/>
      <c r="AY160" s="119"/>
      <c r="AZ160" s="4"/>
    </row>
    <row r="161" ht="9.0" customHeight="1">
      <c r="D161" s="1"/>
      <c r="J161" s="1"/>
      <c r="P161" s="1"/>
      <c r="V161" s="1"/>
      <c r="AB161" s="1"/>
      <c r="AH161" s="1"/>
      <c r="AN161" s="1" t="s">
        <v>576</v>
      </c>
      <c r="AO161" s="43"/>
      <c r="AP161" s="20"/>
      <c r="AQ161" s="20"/>
      <c r="AR161" s="21"/>
      <c r="AS161" s="120"/>
      <c r="AT161" s="1" t="s">
        <v>577</v>
      </c>
      <c r="AU161" s="43"/>
      <c r="AV161" s="20"/>
      <c r="AW161" s="20"/>
      <c r="AX161" s="21"/>
      <c r="AY161" s="119"/>
      <c r="AZ161" s="4"/>
    </row>
    <row r="162" ht="9.0" customHeight="1">
      <c r="D162" s="1"/>
      <c r="J162" s="1"/>
      <c r="P162" s="1"/>
      <c r="V162" s="1"/>
      <c r="AB162" s="1"/>
      <c r="AH162" s="1"/>
      <c r="AN162" s="1" t="s">
        <v>578</v>
      </c>
      <c r="AO162" s="43"/>
      <c r="AP162" s="20"/>
      <c r="AQ162" s="20"/>
      <c r="AR162" s="21"/>
      <c r="AS162" s="120"/>
      <c r="AT162" s="1" t="s">
        <v>579</v>
      </c>
      <c r="AU162" s="43"/>
      <c r="AV162" s="20"/>
      <c r="AW162" s="20"/>
      <c r="AX162" s="21"/>
      <c r="AY162" s="119"/>
      <c r="AZ162" s="4"/>
    </row>
    <row r="163" ht="9.0" customHeight="1">
      <c r="D163" s="1"/>
      <c r="J163" s="1"/>
      <c r="P163" s="1"/>
      <c r="V163" s="1"/>
      <c r="AB163" s="1"/>
      <c r="AH163" s="1"/>
      <c r="AN163" s="1" t="s">
        <v>580</v>
      </c>
      <c r="AO163" s="43"/>
      <c r="AP163" s="20"/>
      <c r="AQ163" s="20"/>
      <c r="AR163" s="21"/>
      <c r="AS163" s="120"/>
      <c r="AT163" s="1" t="s">
        <v>581</v>
      </c>
      <c r="AU163" s="43"/>
      <c r="AV163" s="20"/>
      <c r="AW163" s="20"/>
      <c r="AX163" s="21"/>
      <c r="AY163" s="119"/>
      <c r="AZ163" s="4"/>
    </row>
    <row r="164" ht="9.0" customHeight="1">
      <c r="D164" s="1"/>
      <c r="J164" s="1"/>
      <c r="P164" s="1"/>
      <c r="Q164" s="6">
        <f>SUM(Q181:T181)/32</f>
        <v>0</v>
      </c>
      <c r="R164" s="7"/>
      <c r="S164" s="7"/>
      <c r="T164" s="7"/>
      <c r="V164" s="1"/>
      <c r="AB164" s="1"/>
      <c r="AH164" s="1"/>
      <c r="AN164" s="1" t="s">
        <v>582</v>
      </c>
      <c r="AO164" s="43"/>
      <c r="AP164" s="20"/>
      <c r="AQ164" s="20"/>
      <c r="AR164" s="21"/>
      <c r="AS164" s="120"/>
      <c r="AT164" s="1" t="s">
        <v>583</v>
      </c>
      <c r="AU164" s="43"/>
      <c r="AV164" s="20"/>
      <c r="AW164" s="20"/>
      <c r="AX164" s="21"/>
      <c r="AY164" s="119"/>
      <c r="AZ164" s="4"/>
    </row>
    <row r="165" ht="9.0" customHeight="1">
      <c r="D165" s="1"/>
      <c r="J165" s="1"/>
      <c r="P165" s="1"/>
      <c r="V165" s="1"/>
      <c r="AB165" s="1"/>
      <c r="AH165" s="1"/>
      <c r="AN165" s="1" t="s">
        <v>584</v>
      </c>
      <c r="AO165" s="43"/>
      <c r="AP165" s="20"/>
      <c r="AQ165" s="20"/>
      <c r="AR165" s="21"/>
      <c r="AS165" s="120"/>
      <c r="AT165" s="1" t="s">
        <v>585</v>
      </c>
      <c r="AU165" s="43"/>
      <c r="AV165" s="20"/>
      <c r="AW165" s="20"/>
      <c r="AX165" s="21"/>
      <c r="AY165" s="119"/>
      <c r="AZ165" s="4"/>
    </row>
    <row r="166" ht="9.0" customHeight="1">
      <c r="D166" s="1"/>
      <c r="J166" s="1"/>
      <c r="P166" s="1" t="s">
        <v>586</v>
      </c>
      <c r="Q166" s="101"/>
      <c r="R166" s="21"/>
      <c r="S166" s="121"/>
      <c r="T166" s="122"/>
      <c r="U166" s="119"/>
      <c r="V166" s="1"/>
      <c r="AB166" s="1"/>
      <c r="AH166" s="1"/>
      <c r="AN166" s="1" t="s">
        <v>587</v>
      </c>
      <c r="AO166" s="43"/>
      <c r="AP166" s="20"/>
      <c r="AQ166" s="20"/>
      <c r="AR166" s="21"/>
      <c r="AS166" s="120"/>
      <c r="AT166" s="1" t="s">
        <v>588</v>
      </c>
      <c r="AU166" s="43"/>
      <c r="AV166" s="20"/>
      <c r="AW166" s="20"/>
      <c r="AX166" s="21"/>
      <c r="AY166" s="119"/>
      <c r="AZ166" s="4"/>
    </row>
    <row r="167" ht="9.0" customHeight="1">
      <c r="D167" s="1"/>
      <c r="J167" s="1"/>
      <c r="P167" s="1" t="s">
        <v>589</v>
      </c>
      <c r="Q167" s="43"/>
      <c r="R167" s="21"/>
      <c r="S167" s="43"/>
      <c r="T167" s="21"/>
      <c r="U167" s="119"/>
      <c r="V167" s="1"/>
      <c r="AB167" s="1"/>
      <c r="AH167" s="1"/>
      <c r="AN167" s="1" t="s">
        <v>590</v>
      </c>
      <c r="AO167" s="43"/>
      <c r="AP167" s="20"/>
      <c r="AQ167" s="20"/>
      <c r="AR167" s="21"/>
      <c r="AS167" s="120"/>
      <c r="AT167" s="1" t="s">
        <v>591</v>
      </c>
      <c r="AU167" s="43"/>
      <c r="AV167" s="20"/>
      <c r="AW167" s="20"/>
      <c r="AX167" s="21"/>
      <c r="AY167" s="119"/>
      <c r="AZ167" s="4"/>
    </row>
    <row r="168" ht="9.0" customHeight="1">
      <c r="D168" s="1"/>
      <c r="J168" s="1"/>
      <c r="P168" s="1" t="s">
        <v>592</v>
      </c>
      <c r="Q168" s="43"/>
      <c r="R168" s="21"/>
      <c r="S168" s="123"/>
      <c r="T168" s="124"/>
      <c r="U168" s="119"/>
      <c r="V168" s="1"/>
      <c r="AB168" s="1"/>
      <c r="AH168" s="1"/>
      <c r="AN168" s="1" t="s">
        <v>593</v>
      </c>
      <c r="AO168" s="43"/>
      <c r="AP168" s="20"/>
      <c r="AQ168" s="20"/>
      <c r="AR168" s="21"/>
      <c r="AS168" s="120"/>
      <c r="AT168" s="1" t="s">
        <v>594</v>
      </c>
      <c r="AU168" s="43"/>
      <c r="AV168" s="20"/>
      <c r="AW168" s="20"/>
      <c r="AX168" s="21"/>
      <c r="AY168" s="119"/>
      <c r="AZ168" s="4"/>
    </row>
    <row r="169" ht="9.0" customHeight="1">
      <c r="D169" s="1"/>
      <c r="E169" s="6">
        <f>SUM(E181:H181)/34</f>
        <v>0</v>
      </c>
      <c r="F169" s="7"/>
      <c r="G169" s="7"/>
      <c r="H169" s="7"/>
      <c r="J169" s="1"/>
      <c r="P169" s="1" t="s">
        <v>595</v>
      </c>
      <c r="Q169" s="43"/>
      <c r="R169" s="21"/>
      <c r="S169" s="43"/>
      <c r="T169" s="21"/>
      <c r="U169" s="119"/>
      <c r="V169" s="1"/>
      <c r="W169" s="6">
        <f>SUM(W181:Z181)/20</f>
        <v>0</v>
      </c>
      <c r="X169" s="7"/>
      <c r="Y169" s="7"/>
      <c r="Z169" s="7"/>
      <c r="AB169" s="1"/>
      <c r="AH169" s="1"/>
      <c r="AI169" s="6">
        <f>SUM(AI181:AL181)/24</f>
        <v>0</v>
      </c>
      <c r="AJ169" s="7"/>
      <c r="AK169" s="7"/>
      <c r="AL169" s="7"/>
      <c r="AN169" s="1" t="s">
        <v>596</v>
      </c>
      <c r="AO169" s="43"/>
      <c r="AP169" s="20"/>
      <c r="AQ169" s="20"/>
      <c r="AR169" s="21"/>
      <c r="AS169" s="120"/>
      <c r="AT169" s="1" t="s">
        <v>597</v>
      </c>
      <c r="AU169" s="43"/>
      <c r="AV169" s="20"/>
      <c r="AW169" s="20"/>
      <c r="AX169" s="21"/>
      <c r="AY169" s="119"/>
      <c r="AZ169" s="4"/>
    </row>
    <row r="170" ht="9.0" customHeight="1">
      <c r="D170" s="1"/>
      <c r="J170" s="1"/>
      <c r="P170" s="1" t="s">
        <v>598</v>
      </c>
      <c r="Q170" s="115"/>
      <c r="R170" s="115"/>
      <c r="S170" s="115"/>
      <c r="T170" s="115"/>
      <c r="U170" s="119"/>
      <c r="V170" s="1"/>
      <c r="AB170" s="1"/>
      <c r="AH170" s="1"/>
      <c r="AN170" s="1" t="s">
        <v>599</v>
      </c>
      <c r="AO170" s="43"/>
      <c r="AP170" s="20"/>
      <c r="AQ170" s="20"/>
      <c r="AR170" s="21"/>
      <c r="AS170" s="120"/>
      <c r="AT170" s="1" t="s">
        <v>600</v>
      </c>
      <c r="AU170" s="43"/>
      <c r="AV170" s="20"/>
      <c r="AW170" s="20"/>
      <c r="AX170" s="21"/>
      <c r="AY170" s="119"/>
      <c r="AZ170" s="4"/>
    </row>
    <row r="171" ht="9.0" customHeight="1">
      <c r="D171" s="1" t="s">
        <v>601</v>
      </c>
      <c r="E171" s="14"/>
      <c r="F171" s="14"/>
      <c r="G171" s="14"/>
      <c r="H171" s="14"/>
      <c r="I171" s="120"/>
      <c r="J171" s="1"/>
      <c r="P171" s="1" t="s">
        <v>602</v>
      </c>
      <c r="Q171" s="43"/>
      <c r="R171" s="21"/>
      <c r="S171" s="43"/>
      <c r="T171" s="21"/>
      <c r="U171" s="119"/>
      <c r="V171" s="1" t="s">
        <v>603</v>
      </c>
      <c r="W171" s="43"/>
      <c r="X171" s="21"/>
      <c r="Y171" s="43"/>
      <c r="Z171" s="21"/>
      <c r="AA171" s="119"/>
      <c r="AB171" s="1"/>
      <c r="AH171" s="1" t="s">
        <v>604</v>
      </c>
      <c r="AI171" s="43"/>
      <c r="AJ171" s="21"/>
      <c r="AK171" s="43"/>
      <c r="AL171" s="21"/>
      <c r="AN171" s="1" t="s">
        <v>605</v>
      </c>
      <c r="AO171" s="43"/>
      <c r="AP171" s="20"/>
      <c r="AQ171" s="20"/>
      <c r="AR171" s="21"/>
      <c r="AS171" s="120"/>
      <c r="AT171" s="1" t="s">
        <v>606</v>
      </c>
      <c r="AU171" s="43"/>
      <c r="AV171" s="20"/>
      <c r="AW171" s="20"/>
      <c r="AX171" s="21"/>
      <c r="AY171" s="119"/>
      <c r="AZ171" s="4"/>
    </row>
    <row r="172" ht="9.0" customHeight="1">
      <c r="D172" s="1" t="s">
        <v>607</v>
      </c>
      <c r="E172" s="102"/>
      <c r="F172" s="102"/>
      <c r="G172" s="102"/>
      <c r="H172" s="102"/>
      <c r="I172" s="120"/>
      <c r="J172" s="1"/>
      <c r="K172" s="6">
        <f>SUM(K181:N181)/18</f>
        <v>0</v>
      </c>
      <c r="L172" s="7"/>
      <c r="M172" s="7"/>
      <c r="N172" s="7"/>
      <c r="P172" s="1" t="s">
        <v>608</v>
      </c>
      <c r="Q172" s="43"/>
      <c r="R172" s="21"/>
      <c r="S172" s="43"/>
      <c r="T172" s="21"/>
      <c r="U172" s="119"/>
      <c r="V172" s="1" t="s">
        <v>609</v>
      </c>
      <c r="W172" s="43"/>
      <c r="X172" s="21"/>
      <c r="Y172" s="43"/>
      <c r="Z172" s="21"/>
      <c r="AA172" s="119"/>
      <c r="AB172" s="1"/>
      <c r="AC172" s="6">
        <f>SUM(AC181:AF181)/14</f>
        <v>0</v>
      </c>
      <c r="AD172" s="7"/>
      <c r="AE172" s="7"/>
      <c r="AF172" s="7"/>
      <c r="AH172" s="1" t="s">
        <v>610</v>
      </c>
      <c r="AI172" s="43"/>
      <c r="AJ172" s="21"/>
      <c r="AK172" s="43"/>
      <c r="AL172" s="21"/>
      <c r="AN172" s="1" t="s">
        <v>611</v>
      </c>
      <c r="AO172" s="43"/>
      <c r="AP172" s="20"/>
      <c r="AQ172" s="20"/>
      <c r="AR172" s="21"/>
      <c r="AS172" s="120"/>
      <c r="AT172" s="1" t="s">
        <v>612</v>
      </c>
      <c r="AU172" s="43"/>
      <c r="AV172" s="20"/>
      <c r="AW172" s="20"/>
      <c r="AX172" s="21"/>
      <c r="AY172" s="119"/>
      <c r="AZ172" s="4"/>
    </row>
    <row r="173" ht="9.0" customHeight="1">
      <c r="D173" s="1" t="s">
        <v>613</v>
      </c>
      <c r="E173" s="35"/>
      <c r="F173" s="35"/>
      <c r="G173" s="35"/>
      <c r="H173" s="35"/>
      <c r="I173" s="120"/>
      <c r="J173" s="1"/>
      <c r="P173" s="1" t="s">
        <v>614</v>
      </c>
      <c r="Q173" s="43"/>
      <c r="R173" s="21"/>
      <c r="S173" s="43"/>
      <c r="T173" s="21"/>
      <c r="U173" s="119"/>
      <c r="V173" s="1" t="s">
        <v>615</v>
      </c>
      <c r="W173" s="43"/>
      <c r="X173" s="21"/>
      <c r="Y173" s="43"/>
      <c r="Z173" s="21"/>
      <c r="AA173" s="120"/>
      <c r="AB173" s="1"/>
      <c r="AH173" s="1" t="s">
        <v>616</v>
      </c>
      <c r="AI173" s="43"/>
      <c r="AJ173" s="21"/>
      <c r="AK173" s="43"/>
      <c r="AL173" s="21"/>
      <c r="AN173" s="1" t="s">
        <v>617</v>
      </c>
      <c r="AO173" s="43"/>
      <c r="AP173" s="20"/>
      <c r="AQ173" s="20"/>
      <c r="AR173" s="21"/>
      <c r="AS173" s="120"/>
      <c r="AT173" s="1" t="s">
        <v>618</v>
      </c>
      <c r="AU173" s="43"/>
      <c r="AV173" s="20"/>
      <c r="AW173" s="20"/>
      <c r="AX173" s="21"/>
      <c r="AY173" s="119"/>
      <c r="AZ173" s="4"/>
    </row>
    <row r="174" ht="9.0" customHeight="1">
      <c r="D174" s="1" t="s">
        <v>619</v>
      </c>
      <c r="E174" s="35"/>
      <c r="F174" s="35"/>
      <c r="G174" s="35"/>
      <c r="H174" s="35"/>
      <c r="I174" s="120"/>
      <c r="J174" s="1" t="s">
        <v>620</v>
      </c>
      <c r="K174" s="43"/>
      <c r="L174" s="21"/>
      <c r="M174" s="43"/>
      <c r="N174" s="21"/>
      <c r="O174" s="119"/>
      <c r="P174" s="1" t="s">
        <v>621</v>
      </c>
      <c r="Q174" s="43"/>
      <c r="R174" s="21"/>
      <c r="S174" s="43"/>
      <c r="T174" s="21"/>
      <c r="U174" s="119"/>
      <c r="V174" s="1" t="s">
        <v>622</v>
      </c>
      <c r="W174" s="43"/>
      <c r="X174" s="21"/>
      <c r="Y174" s="43"/>
      <c r="Z174" s="21"/>
      <c r="AA174" s="119"/>
      <c r="AB174" s="1" t="s">
        <v>623</v>
      </c>
      <c r="AC174" s="28"/>
      <c r="AD174" s="21"/>
      <c r="AE174" s="28"/>
      <c r="AF174" s="21"/>
      <c r="AG174" s="119"/>
      <c r="AH174" s="1" t="s">
        <v>624</v>
      </c>
      <c r="AI174" s="43"/>
      <c r="AJ174" s="21"/>
      <c r="AK174" s="43"/>
      <c r="AL174" s="21"/>
      <c r="AN174" s="1" t="s">
        <v>625</v>
      </c>
      <c r="AO174" s="43"/>
      <c r="AP174" s="20"/>
      <c r="AQ174" s="20"/>
      <c r="AR174" s="21"/>
      <c r="AS174" s="120"/>
      <c r="AT174" s="1" t="s">
        <v>626</v>
      </c>
      <c r="AU174" s="43"/>
      <c r="AV174" s="20"/>
      <c r="AW174" s="20"/>
      <c r="AX174" s="21"/>
      <c r="AY174" s="119"/>
      <c r="AZ174" s="4"/>
    </row>
    <row r="175" ht="9.0" customHeight="1">
      <c r="D175" s="1" t="s">
        <v>627</v>
      </c>
      <c r="E175" s="35"/>
      <c r="F175" s="35"/>
      <c r="G175" s="35"/>
      <c r="H175" s="35"/>
      <c r="I175" s="120"/>
      <c r="J175" s="1" t="s">
        <v>628</v>
      </c>
      <c r="K175" s="115"/>
      <c r="L175" s="115"/>
      <c r="M175" s="115"/>
      <c r="N175" s="115"/>
      <c r="O175" s="119"/>
      <c r="P175" s="1" t="s">
        <v>629</v>
      </c>
      <c r="Q175" s="43"/>
      <c r="R175" s="21"/>
      <c r="S175" s="43"/>
      <c r="T175" s="21"/>
      <c r="U175" s="119"/>
      <c r="V175" s="1" t="s">
        <v>630</v>
      </c>
      <c r="W175" s="43"/>
      <c r="X175" s="21"/>
      <c r="Y175" s="43"/>
      <c r="Z175" s="21"/>
      <c r="AA175" s="119"/>
      <c r="AB175" s="1" t="s">
        <v>631</v>
      </c>
      <c r="AC175" s="28"/>
      <c r="AD175" s="21"/>
      <c r="AE175" s="28"/>
      <c r="AF175" s="21"/>
      <c r="AG175" s="119"/>
      <c r="AH175" s="1" t="s">
        <v>632</v>
      </c>
      <c r="AI175" s="43"/>
      <c r="AJ175" s="21"/>
      <c r="AK175" s="43"/>
      <c r="AL175" s="21"/>
      <c r="AN175" s="1" t="s">
        <v>633</v>
      </c>
      <c r="AO175" s="43"/>
      <c r="AP175" s="20"/>
      <c r="AQ175" s="20"/>
      <c r="AR175" s="21"/>
      <c r="AS175" s="120"/>
      <c r="AT175" s="1" t="s">
        <v>634</v>
      </c>
      <c r="AU175" s="43"/>
      <c r="AV175" s="20"/>
      <c r="AW175" s="20"/>
      <c r="AX175" s="21"/>
      <c r="AY175" s="119"/>
      <c r="AZ175" s="4"/>
    </row>
    <row r="176" ht="9.0" customHeight="1">
      <c r="D176" s="1" t="s">
        <v>635</v>
      </c>
      <c r="E176" s="35"/>
      <c r="F176" s="35"/>
      <c r="G176" s="35"/>
      <c r="H176" s="35"/>
      <c r="I176" s="120"/>
      <c r="J176" s="1" t="s">
        <v>636</v>
      </c>
      <c r="K176" s="115"/>
      <c r="L176" s="115"/>
      <c r="M176" s="115"/>
      <c r="N176" s="115"/>
      <c r="O176" s="119"/>
      <c r="P176" s="1" t="s">
        <v>637</v>
      </c>
      <c r="Q176" s="43"/>
      <c r="R176" s="21"/>
      <c r="S176" s="43"/>
      <c r="T176" s="21"/>
      <c r="U176" s="119"/>
      <c r="V176" s="1" t="s">
        <v>638</v>
      </c>
      <c r="W176" s="43"/>
      <c r="X176" s="21"/>
      <c r="Y176" s="43"/>
      <c r="Z176" s="21"/>
      <c r="AA176" s="119"/>
      <c r="AB176" s="1" t="s">
        <v>639</v>
      </c>
      <c r="AC176" s="28"/>
      <c r="AD176" s="21"/>
      <c r="AE176" s="28"/>
      <c r="AF176" s="21"/>
      <c r="AG176" s="119"/>
      <c r="AH176" s="1" t="s">
        <v>640</v>
      </c>
      <c r="AI176" s="43"/>
      <c r="AJ176" s="21"/>
      <c r="AK176" s="43"/>
      <c r="AL176" s="21"/>
      <c r="AN176" s="1" t="s">
        <v>641</v>
      </c>
      <c r="AO176" s="43"/>
      <c r="AP176" s="20"/>
      <c r="AQ176" s="20"/>
      <c r="AR176" s="21"/>
      <c r="AS176" s="119"/>
      <c r="AT176" s="1" t="s">
        <v>642</v>
      </c>
      <c r="AU176" s="43"/>
      <c r="AV176" s="20"/>
      <c r="AW176" s="20"/>
      <c r="AX176" s="21"/>
      <c r="AY176" s="120"/>
      <c r="AZ176" s="4"/>
    </row>
    <row r="177" ht="9.0" customHeight="1">
      <c r="D177" s="1" t="s">
        <v>643</v>
      </c>
      <c r="E177" s="43"/>
      <c r="F177" s="21"/>
      <c r="G177" s="43"/>
      <c r="H177" s="21"/>
      <c r="I177" s="120"/>
      <c r="J177" s="1" t="s">
        <v>644</v>
      </c>
      <c r="K177" s="43"/>
      <c r="L177" s="21"/>
      <c r="M177" s="43"/>
      <c r="N177" s="21"/>
      <c r="O177" s="119"/>
      <c r="P177" s="1" t="s">
        <v>645</v>
      </c>
      <c r="Q177" s="43"/>
      <c r="R177" s="21"/>
      <c r="S177" s="43"/>
      <c r="T177" s="21"/>
      <c r="U177" s="119"/>
      <c r="V177" s="1" t="s">
        <v>646</v>
      </c>
      <c r="W177" s="125"/>
      <c r="X177" s="126"/>
      <c r="Y177" s="43"/>
      <c r="Z177" s="21"/>
      <c r="AA177" s="119"/>
      <c r="AB177" s="1" t="s">
        <v>647</v>
      </c>
      <c r="AC177" s="28"/>
      <c r="AD177" s="21"/>
      <c r="AE177" s="28"/>
      <c r="AF177" s="21"/>
      <c r="AG177" s="119"/>
      <c r="AH177" s="1" t="s">
        <v>648</v>
      </c>
      <c r="AI177" s="43"/>
      <c r="AJ177" s="21"/>
      <c r="AK177" s="43"/>
      <c r="AL177" s="21"/>
      <c r="AN177" s="1" t="s">
        <v>649</v>
      </c>
      <c r="AO177" s="43"/>
      <c r="AP177" s="20"/>
      <c r="AQ177" s="20"/>
      <c r="AR177" s="21"/>
      <c r="AT177" s="1" t="s">
        <v>650</v>
      </c>
      <c r="AU177" s="43"/>
      <c r="AV177" s="20"/>
      <c r="AW177" s="20"/>
      <c r="AX177" s="21"/>
      <c r="AY177" s="120"/>
      <c r="AZ177" s="4"/>
    </row>
    <row r="178" ht="9.0" customHeight="1">
      <c r="D178" s="1" t="s">
        <v>651</v>
      </c>
      <c r="E178" s="35"/>
      <c r="F178" s="35"/>
      <c r="G178" s="35"/>
      <c r="H178" s="35"/>
      <c r="I178" s="120"/>
      <c r="J178" s="1" t="s">
        <v>652</v>
      </c>
      <c r="K178" s="43"/>
      <c r="L178" s="21"/>
      <c r="M178" s="43"/>
      <c r="N178" s="21"/>
      <c r="O178" s="119"/>
      <c r="P178" s="1" t="s">
        <v>653</v>
      </c>
      <c r="Q178" s="43"/>
      <c r="R178" s="21"/>
      <c r="S178" s="43"/>
      <c r="T178" s="21"/>
      <c r="U178" s="119"/>
      <c r="V178" s="1" t="s">
        <v>654</v>
      </c>
      <c r="W178" s="43"/>
      <c r="X178" s="21"/>
      <c r="Y178" s="43"/>
      <c r="Z178" s="21"/>
      <c r="AA178" s="119"/>
      <c r="AB178" s="1" t="s">
        <v>655</v>
      </c>
      <c r="AC178" s="28"/>
      <c r="AD178" s="21"/>
      <c r="AE178" s="28"/>
      <c r="AF178" s="21"/>
      <c r="AG178" s="119"/>
      <c r="AH178" s="1" t="s">
        <v>656</v>
      </c>
      <c r="AI178" s="43"/>
      <c r="AJ178" s="21"/>
      <c r="AK178" s="43"/>
      <c r="AL178" s="21"/>
      <c r="AN178" s="1" t="s">
        <v>657</v>
      </c>
      <c r="AO178" s="43"/>
      <c r="AP178" s="20"/>
      <c r="AQ178" s="20"/>
      <c r="AR178" s="21"/>
      <c r="AT178" s="1" t="s">
        <v>658</v>
      </c>
      <c r="AU178" s="43"/>
      <c r="AV178" s="20"/>
      <c r="AW178" s="20"/>
      <c r="AX178" s="21"/>
      <c r="AY178" s="120"/>
      <c r="AZ178" s="4"/>
    </row>
    <row r="179" ht="9.0" customHeight="1">
      <c r="D179" s="1" t="s">
        <v>659</v>
      </c>
      <c r="E179" s="43"/>
      <c r="F179" s="21"/>
      <c r="G179" s="43"/>
      <c r="H179" s="21"/>
      <c r="I179" s="120"/>
      <c r="J179" s="1" t="s">
        <v>660</v>
      </c>
      <c r="K179" s="43"/>
      <c r="L179" s="21"/>
      <c r="M179" s="43"/>
      <c r="N179" s="21"/>
      <c r="O179" s="127"/>
      <c r="P179" s="1" t="s">
        <v>661</v>
      </c>
      <c r="Q179" s="43"/>
      <c r="R179" s="21"/>
      <c r="S179" s="43"/>
      <c r="T179" s="21"/>
      <c r="U179" s="119"/>
      <c r="V179" s="1" t="s">
        <v>662</v>
      </c>
      <c r="W179" s="43"/>
      <c r="X179" s="21"/>
      <c r="Y179" s="43"/>
      <c r="Z179" s="21"/>
      <c r="AA179" s="119"/>
      <c r="AB179" s="1" t="s">
        <v>663</v>
      </c>
      <c r="AC179" s="43"/>
      <c r="AD179" s="21"/>
      <c r="AE179" s="43"/>
      <c r="AF179" s="21"/>
      <c r="AG179" s="4"/>
      <c r="AH179" s="1" t="s">
        <v>664</v>
      </c>
      <c r="AI179" s="115"/>
      <c r="AJ179" s="115"/>
      <c r="AK179" s="115"/>
      <c r="AL179" s="115"/>
      <c r="AM179" s="4"/>
      <c r="AN179" s="1" t="s">
        <v>665</v>
      </c>
      <c r="AO179" s="43"/>
      <c r="AP179" s="20"/>
      <c r="AQ179" s="20"/>
      <c r="AR179" s="21"/>
      <c r="AS179" s="4"/>
      <c r="AT179" s="1" t="s">
        <v>666</v>
      </c>
      <c r="AU179" s="43"/>
      <c r="AV179" s="20"/>
      <c r="AW179" s="20"/>
      <c r="AX179" s="21"/>
      <c r="AY179" s="120"/>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row>
    <row r="180" ht="9.0" customHeight="1">
      <c r="D180" s="1" t="s">
        <v>667</v>
      </c>
      <c r="E180" s="43"/>
      <c r="F180" s="21"/>
      <c r="G180" s="43"/>
      <c r="H180" s="21"/>
      <c r="I180" s="120"/>
      <c r="J180" s="1" t="s">
        <v>668</v>
      </c>
      <c r="K180" s="43"/>
      <c r="L180" s="21"/>
      <c r="M180" s="43"/>
      <c r="N180" s="21"/>
      <c r="O180" s="127"/>
      <c r="P180" s="1" t="s">
        <v>669</v>
      </c>
      <c r="Q180" s="43"/>
      <c r="R180" s="21"/>
      <c r="S180" s="43"/>
      <c r="T180" s="21"/>
      <c r="U180" s="119"/>
      <c r="V180" s="1" t="s">
        <v>670</v>
      </c>
      <c r="W180" s="43"/>
      <c r="X180" s="21"/>
      <c r="Y180" s="43"/>
      <c r="Z180" s="21"/>
      <c r="AA180" s="119"/>
      <c r="AB180" s="1" t="s">
        <v>671</v>
      </c>
      <c r="AC180" s="43"/>
      <c r="AD180" s="21"/>
      <c r="AE180" s="43"/>
      <c r="AF180" s="21"/>
      <c r="AG180" s="4"/>
      <c r="AH180" s="1" t="s">
        <v>672</v>
      </c>
      <c r="AI180" s="115"/>
      <c r="AJ180" s="115"/>
      <c r="AK180" s="115"/>
      <c r="AL180" s="115"/>
      <c r="AM180" s="4"/>
      <c r="AN180" s="1" t="s">
        <v>673</v>
      </c>
      <c r="AO180" s="43"/>
      <c r="AP180" s="20"/>
      <c r="AQ180" s="20"/>
      <c r="AR180" s="21"/>
      <c r="AS180" s="4"/>
      <c r="AT180" s="1" t="s">
        <v>674</v>
      </c>
      <c r="AU180" s="43"/>
      <c r="AV180" s="20"/>
      <c r="AW180" s="20"/>
      <c r="AX180" s="21"/>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row>
    <row r="181" ht="9.0" customHeight="1">
      <c r="D181" s="1"/>
      <c r="E181" s="108">
        <f t="shared" ref="E181:H181" si="18">COUNT(E171:E180)</f>
        <v>0</v>
      </c>
      <c r="F181" s="108">
        <f t="shared" si="18"/>
        <v>0</v>
      </c>
      <c r="G181" s="108">
        <f t="shared" si="18"/>
        <v>0</v>
      </c>
      <c r="H181" s="108">
        <f t="shared" si="18"/>
        <v>0</v>
      </c>
      <c r="I181" s="108"/>
      <c r="J181" s="107"/>
      <c r="K181" s="108">
        <f t="shared" ref="K181:N181" si="19">COUNT(K174:K180)</f>
        <v>0</v>
      </c>
      <c r="L181" s="108">
        <f t="shared" si="19"/>
        <v>0</v>
      </c>
      <c r="M181" s="108">
        <f t="shared" si="19"/>
        <v>0</v>
      </c>
      <c r="N181" s="108">
        <f t="shared" si="19"/>
        <v>0</v>
      </c>
      <c r="O181" s="108"/>
      <c r="P181" s="107"/>
      <c r="Q181" s="108">
        <f t="shared" ref="Q181:T181" si="20">COUNT(Q166:Q180)</f>
        <v>0</v>
      </c>
      <c r="R181" s="108">
        <f t="shared" si="20"/>
        <v>0</v>
      </c>
      <c r="S181" s="108">
        <f t="shared" si="20"/>
        <v>0</v>
      </c>
      <c r="T181" s="108">
        <f t="shared" si="20"/>
        <v>0</v>
      </c>
      <c r="U181" s="108"/>
      <c r="V181" s="107"/>
      <c r="W181" s="108">
        <f t="shared" ref="W181:Z181" si="21">COUNT(W171:W180)</f>
        <v>0</v>
      </c>
      <c r="X181" s="108">
        <f t="shared" si="21"/>
        <v>0</v>
      </c>
      <c r="Y181" s="108">
        <f t="shared" si="21"/>
        <v>0</v>
      </c>
      <c r="Z181" s="108">
        <f t="shared" si="21"/>
        <v>0</v>
      </c>
      <c r="AA181" s="108"/>
      <c r="AB181" s="107"/>
      <c r="AC181" s="108">
        <f t="shared" ref="AC181:AF181" si="22">COUNT(AC174:AC180)</f>
        <v>0</v>
      </c>
      <c r="AD181" s="108">
        <f t="shared" si="22"/>
        <v>0</v>
      </c>
      <c r="AE181" s="108">
        <f t="shared" si="22"/>
        <v>0</v>
      </c>
      <c r="AF181" s="108">
        <f t="shared" si="22"/>
        <v>0</v>
      </c>
      <c r="AG181" s="108"/>
      <c r="AH181" s="107"/>
      <c r="AI181" s="108">
        <f t="shared" ref="AI181:AL181" si="23">COUNT(AI171:AI180)</f>
        <v>0</v>
      </c>
      <c r="AJ181" s="108">
        <f t="shared" si="23"/>
        <v>0</v>
      </c>
      <c r="AK181" s="108">
        <f t="shared" si="23"/>
        <v>0</v>
      </c>
      <c r="AL181" s="108">
        <f t="shared" si="23"/>
        <v>0</v>
      </c>
      <c r="AM181" s="108"/>
      <c r="AN181" s="107"/>
      <c r="AO181" s="108">
        <f t="shared" ref="AO181:AR181" si="24">COUNT(AO151:AO180)</f>
        <v>0</v>
      </c>
      <c r="AP181" s="108">
        <f t="shared" si="24"/>
        <v>0</v>
      </c>
      <c r="AQ181" s="108">
        <f t="shared" si="24"/>
        <v>0</v>
      </c>
      <c r="AR181" s="108">
        <f t="shared" si="24"/>
        <v>0</v>
      </c>
      <c r="AS181" s="108"/>
      <c r="AT181" s="107"/>
      <c r="AU181" s="108">
        <f t="shared" ref="AU181:AX181" si="25">COUNT(AU153:AU180)</f>
        <v>0</v>
      </c>
      <c r="AV181" s="108">
        <f t="shared" si="25"/>
        <v>0</v>
      </c>
      <c r="AW181" s="108">
        <f t="shared" si="25"/>
        <v>0</v>
      </c>
      <c r="AX181" s="108">
        <f t="shared" si="25"/>
        <v>0</v>
      </c>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row>
    <row r="182" ht="12.75" customHeight="1">
      <c r="D182" s="1" t="s">
        <v>30</v>
      </c>
      <c r="E182" s="4" t="s">
        <v>675</v>
      </c>
      <c r="F182" s="4"/>
      <c r="G182" s="4"/>
      <c r="H182" s="4"/>
      <c r="I182" s="4"/>
      <c r="J182" s="1" t="s">
        <v>31</v>
      </c>
      <c r="K182" s="4" t="s">
        <v>192</v>
      </c>
      <c r="L182" s="4"/>
      <c r="M182" s="4"/>
      <c r="N182" s="4"/>
      <c r="O182" s="4"/>
      <c r="P182" s="1" t="s">
        <v>32</v>
      </c>
      <c r="Q182" s="4" t="s">
        <v>153</v>
      </c>
      <c r="R182" s="4"/>
      <c r="S182" s="4"/>
      <c r="T182" s="4"/>
      <c r="U182" s="4"/>
      <c r="V182" s="1" t="s">
        <v>33</v>
      </c>
      <c r="W182" s="4" t="s">
        <v>167</v>
      </c>
      <c r="X182" s="4"/>
      <c r="Y182" s="4"/>
      <c r="Z182" s="4"/>
      <c r="AA182" s="4"/>
      <c r="AB182" s="1" t="s">
        <v>34</v>
      </c>
      <c r="AC182" s="4" t="s">
        <v>181</v>
      </c>
      <c r="AD182" s="4"/>
      <c r="AE182" s="4"/>
      <c r="AF182" s="4"/>
      <c r="AG182" s="4"/>
      <c r="AH182" s="1" t="s">
        <v>35</v>
      </c>
      <c r="AI182" s="4" t="s">
        <v>194</v>
      </c>
      <c r="AJ182" s="4"/>
      <c r="AK182" s="4"/>
      <c r="AL182" s="4"/>
      <c r="AM182" s="4"/>
      <c r="AN182" s="1" t="s">
        <v>36</v>
      </c>
      <c r="AO182" s="4" t="s">
        <v>155</v>
      </c>
      <c r="AP182" s="4"/>
      <c r="AQ182" s="4"/>
      <c r="AR182" s="4"/>
      <c r="AS182" s="4"/>
      <c r="AT182" s="1" t="s">
        <v>37</v>
      </c>
      <c r="AU182" s="4" t="s">
        <v>169</v>
      </c>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row>
    <row r="183" ht="12.75" customHeight="1">
      <c r="D183" s="1"/>
      <c r="E183" s="4"/>
      <c r="F183" s="4"/>
      <c r="G183" s="4"/>
      <c r="H183" s="4"/>
      <c r="I183" s="4"/>
      <c r="J183" s="1"/>
      <c r="K183" s="4"/>
      <c r="L183" s="4"/>
      <c r="M183" s="4"/>
      <c r="N183" s="4"/>
      <c r="O183" s="4"/>
      <c r="P183" s="1"/>
      <c r="Q183" s="4"/>
      <c r="R183" s="4"/>
      <c r="S183" s="4"/>
      <c r="T183" s="4"/>
      <c r="U183" s="4"/>
      <c r="V183" s="1"/>
      <c r="W183" s="4"/>
      <c r="X183" s="4"/>
      <c r="Y183" s="4"/>
      <c r="Z183" s="4"/>
      <c r="AA183" s="4"/>
      <c r="AB183" s="1"/>
      <c r="AC183" s="4"/>
      <c r="AD183" s="4"/>
      <c r="AE183" s="4"/>
      <c r="AF183" s="4"/>
      <c r="AG183" s="4"/>
      <c r="AH183" s="1"/>
      <c r="AI183" s="4"/>
      <c r="AJ183" s="4"/>
      <c r="AK183" s="4"/>
      <c r="AL183" s="4"/>
      <c r="AM183" s="4"/>
      <c r="AN183" s="1"/>
      <c r="AO183" s="4"/>
      <c r="AP183" s="4"/>
      <c r="AQ183" s="4"/>
      <c r="AR183" s="4"/>
      <c r="AS183" s="4"/>
      <c r="AT183" s="1"/>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row>
    <row r="184" ht="12.75" customHeight="1">
      <c r="D184" s="1"/>
      <c r="E184" s="4"/>
      <c r="F184" s="4"/>
      <c r="G184" s="4"/>
      <c r="H184" s="4"/>
      <c r="I184" s="4"/>
      <c r="J184" s="1"/>
      <c r="K184" s="4"/>
      <c r="L184" s="4"/>
      <c r="M184" s="4"/>
      <c r="N184" s="4"/>
      <c r="O184" s="4"/>
      <c r="P184" s="1"/>
      <c r="Q184" s="4"/>
      <c r="R184" s="4"/>
      <c r="S184" s="4"/>
      <c r="T184" s="4"/>
      <c r="U184" s="4"/>
      <c r="V184" s="1"/>
      <c r="W184" s="4"/>
      <c r="X184" s="4"/>
      <c r="Y184" s="4"/>
      <c r="Z184" s="4"/>
      <c r="AA184" s="4"/>
      <c r="AB184" s="1"/>
      <c r="AC184" s="4"/>
      <c r="AD184" s="4"/>
      <c r="AE184" s="4"/>
      <c r="AF184" s="4"/>
      <c r="AG184" s="4"/>
      <c r="AH184" s="1"/>
      <c r="AI184" s="4"/>
      <c r="AJ184" s="4"/>
      <c r="AK184" s="4"/>
      <c r="AL184" s="4"/>
      <c r="AM184" s="4"/>
      <c r="AN184" s="1"/>
      <c r="AO184" s="4"/>
      <c r="AP184" s="4"/>
      <c r="AQ184" s="4"/>
      <c r="AR184" s="4"/>
      <c r="AS184" s="4"/>
      <c r="AT184" s="1"/>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row>
    <row r="185" ht="12.75" customHeight="1">
      <c r="D185" s="1"/>
      <c r="J185" s="1"/>
      <c r="P185" s="1"/>
      <c r="V185" s="1"/>
      <c r="AB185" s="1"/>
      <c r="AH185" s="1"/>
      <c r="AN185" s="1"/>
      <c r="AT185" s="1"/>
      <c r="AZ185" s="4"/>
    </row>
    <row r="186" ht="12.75" customHeight="1">
      <c r="D186" s="1"/>
      <c r="J186" s="1"/>
      <c r="P186" s="1"/>
      <c r="V186" s="1"/>
      <c r="AB186" s="1"/>
      <c r="AH186" s="1"/>
      <c r="AN186" s="1"/>
      <c r="AT186" s="1"/>
      <c r="AZ186" s="4"/>
    </row>
    <row r="187" ht="12.75" customHeight="1">
      <c r="D187" s="1"/>
      <c r="J187" s="1"/>
      <c r="P187" s="1"/>
      <c r="V187" s="1"/>
      <c r="AB187" s="1"/>
      <c r="AH187" s="1"/>
      <c r="AN187" s="1"/>
      <c r="AT187" s="1"/>
      <c r="AZ187" s="4"/>
    </row>
    <row r="188" ht="12.75" customHeight="1">
      <c r="D188" s="1"/>
      <c r="J188" s="1"/>
      <c r="P188" s="1"/>
      <c r="V188" s="1"/>
      <c r="AB188" s="1"/>
      <c r="AH188" s="1"/>
      <c r="AN188" s="1"/>
      <c r="AT188" s="1"/>
      <c r="AZ188" s="4"/>
    </row>
    <row r="189" ht="12.75" customHeight="1">
      <c r="D189" s="1"/>
      <c r="J189" s="1"/>
      <c r="P189" s="1"/>
      <c r="V189" s="1"/>
      <c r="AB189" s="1"/>
      <c r="AH189" s="1"/>
      <c r="AN189" s="1"/>
      <c r="AT189" s="1"/>
      <c r="AZ189" s="4"/>
    </row>
    <row r="190" ht="12.75" customHeight="1">
      <c r="D190" s="1"/>
      <c r="J190" s="1"/>
      <c r="P190" s="1"/>
      <c r="V190" s="1"/>
      <c r="AB190" s="1"/>
      <c r="AH190" s="1"/>
      <c r="AN190" s="1"/>
      <c r="AT190" s="1"/>
      <c r="AZ190" s="4"/>
    </row>
    <row r="191" ht="12.75" customHeight="1">
      <c r="D191" s="1"/>
      <c r="J191" s="1"/>
      <c r="P191" s="1"/>
      <c r="V191" s="1"/>
      <c r="AB191" s="1"/>
      <c r="AH191" s="1"/>
      <c r="AN191" s="1"/>
      <c r="AT191" s="1"/>
      <c r="AZ191" s="4"/>
    </row>
    <row r="192" ht="12.75" customHeight="1">
      <c r="D192" s="1"/>
      <c r="J192" s="1"/>
      <c r="P192" s="1"/>
      <c r="V192" s="1"/>
      <c r="AB192" s="1"/>
      <c r="AH192" s="1"/>
      <c r="AN192" s="1"/>
      <c r="AT192" s="1"/>
      <c r="AZ192" s="4"/>
    </row>
    <row r="193" ht="12.75" customHeight="1">
      <c r="D193" s="1"/>
      <c r="J193" s="1"/>
      <c r="P193" s="1"/>
      <c r="V193" s="1"/>
      <c r="AB193" s="1"/>
      <c r="AH193" s="1"/>
      <c r="AN193" s="1"/>
      <c r="AT193" s="1"/>
      <c r="AZ193" s="4"/>
    </row>
    <row r="194" ht="12.75" customHeight="1">
      <c r="D194" s="1"/>
      <c r="J194" s="1"/>
      <c r="P194" s="1"/>
      <c r="V194" s="1"/>
      <c r="AB194" s="1"/>
      <c r="AH194" s="1"/>
      <c r="AN194" s="1"/>
      <c r="AT194" s="1"/>
      <c r="AZ194" s="4"/>
    </row>
    <row r="195" ht="12.75" customHeight="1">
      <c r="D195" s="1"/>
      <c r="J195" s="1"/>
      <c r="P195" s="1"/>
      <c r="V195" s="1"/>
      <c r="AB195" s="1"/>
      <c r="AH195" s="1"/>
      <c r="AN195" s="1"/>
      <c r="AT195" s="1"/>
      <c r="AZ195" s="4"/>
    </row>
    <row r="196" ht="12.75" customHeight="1">
      <c r="D196" s="1"/>
      <c r="J196" s="1"/>
      <c r="P196" s="1"/>
      <c r="V196" s="1"/>
      <c r="AB196" s="1"/>
      <c r="AH196" s="1"/>
      <c r="AN196" s="1"/>
      <c r="AT196" s="1"/>
      <c r="AZ196" s="4"/>
    </row>
    <row r="197" ht="12.75" customHeight="1">
      <c r="D197" s="1"/>
      <c r="J197" s="1"/>
      <c r="P197" s="1"/>
      <c r="V197" s="1"/>
      <c r="AB197" s="1"/>
      <c r="AH197" s="1"/>
      <c r="AN197" s="1"/>
      <c r="AT197" s="1"/>
      <c r="AZ197" s="4"/>
    </row>
    <row r="198" ht="12.75" customHeight="1">
      <c r="D198" s="1"/>
      <c r="J198" s="1"/>
      <c r="P198" s="1"/>
      <c r="V198" s="1"/>
      <c r="AB198" s="1"/>
      <c r="AH198" s="1"/>
      <c r="AN198" s="1"/>
      <c r="AT198" s="1"/>
      <c r="AZ198" s="4"/>
    </row>
    <row r="199" ht="12.75" customHeight="1">
      <c r="D199" s="1"/>
      <c r="J199" s="1"/>
      <c r="P199" s="1"/>
      <c r="V199" s="1"/>
      <c r="AB199" s="1"/>
      <c r="AH199" s="1"/>
      <c r="AN199" s="1"/>
      <c r="AT199" s="1"/>
      <c r="AZ199" s="4"/>
    </row>
    <row r="200" ht="12.75" customHeight="1">
      <c r="D200" s="1"/>
      <c r="J200" s="1"/>
      <c r="P200" s="1"/>
      <c r="V200" s="1"/>
      <c r="AB200" s="1"/>
      <c r="AH200" s="1"/>
      <c r="AN200" s="1"/>
      <c r="AT200" s="1"/>
      <c r="AZ200" s="4"/>
    </row>
    <row r="201" ht="12.75" customHeight="1">
      <c r="D201" s="1"/>
      <c r="J201" s="1"/>
      <c r="P201" s="1"/>
      <c r="V201" s="1"/>
      <c r="AB201" s="1"/>
      <c r="AH201" s="1"/>
      <c r="AN201" s="1"/>
      <c r="AT201" s="1"/>
      <c r="AZ201" s="4"/>
    </row>
    <row r="202" ht="12.75" customHeight="1">
      <c r="D202" s="1"/>
      <c r="J202" s="1"/>
      <c r="P202" s="1"/>
      <c r="V202" s="1"/>
      <c r="AB202" s="1"/>
      <c r="AH202" s="1"/>
      <c r="AN202" s="1"/>
      <c r="AT202" s="1"/>
      <c r="AZ202" s="4"/>
    </row>
    <row r="203" ht="12.75" customHeight="1">
      <c r="D203" s="1"/>
      <c r="J203" s="1"/>
      <c r="P203" s="1"/>
      <c r="V203" s="1"/>
      <c r="AB203" s="1"/>
      <c r="AH203" s="1"/>
      <c r="AN203" s="1"/>
      <c r="AT203" s="1"/>
      <c r="AZ203" s="4"/>
    </row>
    <row r="204" ht="12.75" customHeight="1">
      <c r="D204" s="1"/>
      <c r="J204" s="1"/>
      <c r="P204" s="1"/>
      <c r="V204" s="1"/>
      <c r="AB204" s="1"/>
      <c r="AH204" s="1"/>
      <c r="AN204" s="1"/>
      <c r="AT204" s="1"/>
      <c r="AZ204" s="4"/>
    </row>
    <row r="205" ht="12.75" customHeight="1">
      <c r="D205" s="1"/>
      <c r="J205" s="1"/>
      <c r="P205" s="1"/>
      <c r="V205" s="1"/>
      <c r="AB205" s="1"/>
      <c r="AH205" s="1"/>
      <c r="AN205" s="1"/>
      <c r="AT205" s="1"/>
      <c r="AZ205" s="4"/>
    </row>
    <row r="206" ht="12.75" customHeight="1">
      <c r="D206" s="1"/>
      <c r="J206" s="1"/>
      <c r="P206" s="1"/>
      <c r="V206" s="1"/>
      <c r="AB206" s="1"/>
      <c r="AH206" s="1"/>
      <c r="AN206" s="1"/>
      <c r="AT206" s="1"/>
      <c r="AZ206" s="4"/>
    </row>
    <row r="207" ht="12.75" customHeight="1">
      <c r="D207" s="1"/>
      <c r="J207" s="1"/>
      <c r="P207" s="1"/>
      <c r="V207" s="1"/>
      <c r="AB207" s="1"/>
      <c r="AH207" s="1"/>
      <c r="AN207" s="1"/>
      <c r="AT207" s="1"/>
      <c r="AZ207" s="4"/>
    </row>
    <row r="208" ht="12.75" customHeight="1">
      <c r="D208" s="1"/>
      <c r="J208" s="1"/>
      <c r="P208" s="1"/>
      <c r="V208" s="1"/>
      <c r="AB208" s="1"/>
      <c r="AH208" s="1"/>
      <c r="AN208" s="1"/>
      <c r="AT208" s="1"/>
      <c r="AZ208" s="4"/>
    </row>
    <row r="209" ht="12.75" customHeight="1">
      <c r="D209" s="1"/>
      <c r="J209" s="1"/>
      <c r="P209" s="1"/>
      <c r="V209" s="1"/>
      <c r="AB209" s="1"/>
      <c r="AH209" s="1"/>
      <c r="AN209" s="1"/>
      <c r="AT209" s="1"/>
      <c r="AZ209" s="4"/>
    </row>
    <row r="210" ht="12.75" customHeight="1">
      <c r="D210" s="1"/>
      <c r="J210" s="1"/>
      <c r="P210" s="1"/>
      <c r="V210" s="1"/>
      <c r="AB210" s="1"/>
      <c r="AH210" s="1"/>
      <c r="AN210" s="1"/>
      <c r="AT210" s="1"/>
      <c r="AZ210" s="4"/>
    </row>
    <row r="211" ht="12.75" customHeight="1">
      <c r="D211" s="1"/>
      <c r="J211" s="1"/>
      <c r="P211" s="1"/>
      <c r="V211" s="1"/>
      <c r="AB211" s="1"/>
      <c r="AH211" s="1"/>
      <c r="AN211" s="1"/>
      <c r="AT211" s="1"/>
      <c r="AZ211" s="4"/>
    </row>
    <row r="212" ht="12.75" customHeight="1">
      <c r="D212" s="1"/>
      <c r="J212" s="1"/>
      <c r="P212" s="1"/>
      <c r="V212" s="1"/>
      <c r="AB212" s="1"/>
      <c r="AH212" s="1"/>
      <c r="AN212" s="1"/>
      <c r="AT212" s="1"/>
      <c r="AZ212" s="4"/>
    </row>
    <row r="213" ht="12.75" customHeight="1">
      <c r="D213" s="1"/>
      <c r="J213" s="1"/>
      <c r="P213" s="1"/>
      <c r="V213" s="1"/>
      <c r="AB213" s="1"/>
      <c r="AH213" s="1"/>
      <c r="AN213" s="1"/>
      <c r="AT213" s="1"/>
      <c r="AZ213" s="4"/>
    </row>
    <row r="214" ht="12.75" customHeight="1">
      <c r="D214" s="1"/>
      <c r="J214" s="1"/>
      <c r="P214" s="1"/>
      <c r="V214" s="1"/>
      <c r="AB214" s="1"/>
      <c r="AH214" s="1"/>
      <c r="AN214" s="1"/>
      <c r="AT214" s="1"/>
      <c r="AZ214" s="4"/>
    </row>
    <row r="215" ht="12.75" customHeight="1">
      <c r="D215" s="1"/>
      <c r="J215" s="1"/>
      <c r="P215" s="1"/>
      <c r="V215" s="1"/>
      <c r="AB215" s="1"/>
      <c r="AH215" s="1"/>
      <c r="AN215" s="1"/>
      <c r="AT215" s="1"/>
      <c r="AZ215" s="4"/>
    </row>
    <row r="216" ht="12.75" customHeight="1">
      <c r="D216" s="1"/>
      <c r="J216" s="1"/>
      <c r="P216" s="1"/>
      <c r="V216" s="1"/>
      <c r="AB216" s="1"/>
      <c r="AH216" s="1"/>
      <c r="AN216" s="1"/>
      <c r="AT216" s="1"/>
      <c r="AZ216" s="4"/>
    </row>
    <row r="217" ht="12.75" customHeight="1">
      <c r="D217" s="1"/>
      <c r="J217" s="1"/>
      <c r="P217" s="1"/>
      <c r="V217" s="1"/>
      <c r="AB217" s="1"/>
      <c r="AH217" s="1"/>
      <c r="AN217" s="1"/>
      <c r="AT217" s="1"/>
      <c r="AZ217" s="4"/>
    </row>
    <row r="218" ht="12.75" customHeight="1">
      <c r="D218" s="1"/>
      <c r="J218" s="1"/>
      <c r="P218" s="1"/>
      <c r="V218" s="1"/>
      <c r="AB218" s="1"/>
      <c r="AH218" s="1"/>
      <c r="AN218" s="1"/>
      <c r="AT218" s="1"/>
      <c r="AZ218" s="4"/>
    </row>
    <row r="219" ht="12.75" customHeight="1">
      <c r="D219" s="1"/>
      <c r="J219" s="1"/>
      <c r="P219" s="1"/>
      <c r="V219" s="1"/>
      <c r="AB219" s="1"/>
      <c r="AH219" s="1"/>
      <c r="AN219" s="1"/>
      <c r="AT219" s="1"/>
      <c r="AZ219" s="4"/>
    </row>
    <row r="220" ht="12.75" customHeight="1">
      <c r="D220" s="1"/>
      <c r="J220" s="1"/>
      <c r="P220" s="1"/>
      <c r="V220" s="1"/>
      <c r="AB220" s="1"/>
      <c r="AH220" s="1"/>
      <c r="AN220" s="1"/>
      <c r="AT220" s="1"/>
      <c r="AZ220" s="4"/>
    </row>
    <row r="221" ht="12.75" customHeight="1">
      <c r="D221" s="1"/>
      <c r="J221" s="1"/>
      <c r="P221" s="1"/>
      <c r="V221" s="1"/>
      <c r="AB221" s="1"/>
      <c r="AH221" s="1"/>
      <c r="AN221" s="1"/>
      <c r="AT221" s="1"/>
      <c r="AZ221" s="4"/>
    </row>
    <row r="222" ht="12.75" customHeight="1">
      <c r="D222" s="1"/>
      <c r="J222" s="1"/>
      <c r="P222" s="1"/>
      <c r="V222" s="1"/>
      <c r="AB222" s="1"/>
      <c r="AH222" s="1"/>
      <c r="AN222" s="1"/>
      <c r="AT222" s="1"/>
      <c r="AZ222" s="4"/>
    </row>
    <row r="223" ht="12.75" customHeight="1">
      <c r="D223" s="1"/>
      <c r="J223" s="1"/>
      <c r="P223" s="1"/>
      <c r="V223" s="1"/>
      <c r="AB223" s="1"/>
      <c r="AH223" s="1"/>
      <c r="AN223" s="1"/>
      <c r="AT223" s="1"/>
      <c r="AZ223" s="4"/>
    </row>
    <row r="224" ht="12.75" customHeight="1">
      <c r="D224" s="1"/>
      <c r="J224" s="1"/>
      <c r="P224" s="1"/>
      <c r="V224" s="1"/>
      <c r="AB224" s="1"/>
      <c r="AH224" s="1"/>
      <c r="AN224" s="1"/>
      <c r="AT224" s="1"/>
      <c r="AZ224" s="4"/>
    </row>
    <row r="225" ht="12.75" customHeight="1">
      <c r="D225" s="1"/>
      <c r="J225" s="1"/>
      <c r="P225" s="1"/>
      <c r="V225" s="1"/>
      <c r="AB225" s="1"/>
      <c r="AH225" s="1"/>
      <c r="AN225" s="1"/>
      <c r="AT225" s="1"/>
      <c r="AZ225" s="4"/>
    </row>
    <row r="226" ht="12.75" customHeight="1">
      <c r="D226" s="1"/>
      <c r="J226" s="1"/>
      <c r="P226" s="1"/>
      <c r="V226" s="1"/>
      <c r="AB226" s="1"/>
      <c r="AH226" s="1"/>
      <c r="AN226" s="1"/>
      <c r="AT226" s="1"/>
      <c r="AZ226" s="4"/>
    </row>
    <row r="227" ht="12.75" customHeight="1">
      <c r="D227" s="1"/>
      <c r="J227" s="1"/>
      <c r="P227" s="1"/>
      <c r="V227" s="1"/>
      <c r="AB227" s="1"/>
      <c r="AH227" s="1"/>
      <c r="AN227" s="1"/>
      <c r="AT227" s="1"/>
      <c r="AZ227" s="4"/>
    </row>
    <row r="228" ht="12.75" customHeight="1">
      <c r="D228" s="1"/>
      <c r="J228" s="1"/>
      <c r="P228" s="1"/>
      <c r="V228" s="1"/>
      <c r="AB228" s="1"/>
      <c r="AH228" s="1"/>
      <c r="AN228" s="1"/>
      <c r="AT228" s="1"/>
      <c r="AZ228" s="4"/>
    </row>
    <row r="229" ht="12.75" customHeight="1">
      <c r="D229" s="1"/>
      <c r="J229" s="1"/>
      <c r="P229" s="1"/>
      <c r="V229" s="1"/>
      <c r="AB229" s="1"/>
      <c r="AH229" s="1"/>
      <c r="AN229" s="1"/>
      <c r="AT229" s="1"/>
      <c r="AZ229" s="4"/>
    </row>
    <row r="230" ht="12.75" customHeight="1">
      <c r="D230" s="1"/>
      <c r="J230" s="1"/>
      <c r="P230" s="1"/>
      <c r="V230" s="1"/>
      <c r="AB230" s="1"/>
      <c r="AH230" s="1"/>
      <c r="AN230" s="1"/>
      <c r="AT230" s="1"/>
      <c r="AZ230" s="4"/>
    </row>
    <row r="231" ht="12.75" customHeight="1">
      <c r="D231" s="1"/>
      <c r="J231" s="1"/>
      <c r="P231" s="1"/>
      <c r="V231" s="1"/>
      <c r="AB231" s="1"/>
      <c r="AH231" s="1"/>
      <c r="AN231" s="1"/>
      <c r="AT231" s="1"/>
      <c r="AZ231" s="4"/>
    </row>
    <row r="232" ht="12.75" customHeight="1">
      <c r="D232" s="1"/>
      <c r="J232" s="1"/>
      <c r="P232" s="1"/>
      <c r="V232" s="1"/>
      <c r="AB232" s="1"/>
      <c r="AH232" s="1"/>
      <c r="AN232" s="1"/>
      <c r="AT232" s="1"/>
      <c r="AZ232" s="4"/>
    </row>
    <row r="233" ht="12.75" customHeight="1">
      <c r="D233" s="1"/>
      <c r="J233" s="1"/>
      <c r="P233" s="1"/>
      <c r="V233" s="1"/>
      <c r="AB233" s="1"/>
      <c r="AH233" s="1"/>
      <c r="AN233" s="1"/>
      <c r="AT233" s="1"/>
      <c r="AZ233" s="4"/>
    </row>
    <row r="234" ht="12.75" customHeight="1">
      <c r="D234" s="1"/>
      <c r="J234" s="1"/>
      <c r="P234" s="1"/>
      <c r="V234" s="1"/>
      <c r="AB234" s="1"/>
      <c r="AH234" s="1"/>
      <c r="AN234" s="1"/>
      <c r="AT234" s="1"/>
      <c r="AZ234" s="4"/>
    </row>
    <row r="235" ht="12.75" customHeight="1">
      <c r="D235" s="1"/>
      <c r="J235" s="1"/>
      <c r="P235" s="1"/>
      <c r="V235" s="1"/>
      <c r="AB235" s="1"/>
      <c r="AH235" s="1"/>
      <c r="AN235" s="1"/>
      <c r="AT235" s="1"/>
      <c r="AZ235" s="4"/>
    </row>
    <row r="236" ht="12.75" customHeight="1">
      <c r="D236" s="1"/>
      <c r="J236" s="1"/>
      <c r="P236" s="1"/>
      <c r="V236" s="1"/>
      <c r="AB236" s="1"/>
      <c r="AH236" s="1"/>
      <c r="AN236" s="1"/>
      <c r="AT236" s="1"/>
      <c r="AZ236" s="4"/>
    </row>
    <row r="237" ht="12.75" customHeight="1">
      <c r="D237" s="1"/>
      <c r="J237" s="1"/>
      <c r="P237" s="1"/>
      <c r="V237" s="1"/>
      <c r="AB237" s="1"/>
      <c r="AH237" s="1"/>
      <c r="AN237" s="1"/>
      <c r="AT237" s="1"/>
      <c r="AZ237" s="4"/>
    </row>
    <row r="238" ht="12.75" customHeight="1">
      <c r="D238" s="1"/>
      <c r="J238" s="1"/>
      <c r="P238" s="1"/>
      <c r="V238" s="1"/>
      <c r="AB238" s="1"/>
      <c r="AH238" s="1"/>
      <c r="AN238" s="1"/>
      <c r="AT238" s="1"/>
      <c r="AZ238" s="4"/>
    </row>
    <row r="239" ht="12.75" customHeight="1">
      <c r="D239" s="1"/>
      <c r="J239" s="1"/>
      <c r="P239" s="1"/>
      <c r="V239" s="1"/>
      <c r="AB239" s="1"/>
      <c r="AH239" s="1"/>
      <c r="AN239" s="1"/>
      <c r="AT239" s="1"/>
      <c r="AZ239" s="4"/>
    </row>
    <row r="240" ht="12.75" customHeight="1">
      <c r="D240" s="1"/>
      <c r="J240" s="1"/>
      <c r="P240" s="1"/>
      <c r="V240" s="1"/>
      <c r="AB240" s="1"/>
      <c r="AH240" s="1"/>
      <c r="AN240" s="1"/>
      <c r="AT240" s="1"/>
      <c r="AZ240" s="4"/>
    </row>
    <row r="241" ht="12.75" customHeight="1">
      <c r="D241" s="1"/>
      <c r="J241" s="1"/>
      <c r="P241" s="1"/>
      <c r="V241" s="1"/>
      <c r="AB241" s="1"/>
      <c r="AH241" s="1"/>
      <c r="AN241" s="1"/>
      <c r="AT241" s="1"/>
      <c r="AZ241" s="4"/>
    </row>
    <row r="242" ht="12.75" customHeight="1">
      <c r="D242" s="1"/>
      <c r="J242" s="1"/>
      <c r="P242" s="1"/>
      <c r="V242" s="1"/>
      <c r="AB242" s="1"/>
      <c r="AH242" s="1"/>
      <c r="AN242" s="1"/>
      <c r="AT242" s="1"/>
      <c r="AZ242" s="4"/>
    </row>
    <row r="243" ht="12.75" customHeight="1">
      <c r="D243" s="1"/>
      <c r="J243" s="1"/>
      <c r="P243" s="1"/>
      <c r="V243" s="1"/>
      <c r="AB243" s="1"/>
      <c r="AH243" s="1"/>
      <c r="AN243" s="1"/>
      <c r="AT243" s="1"/>
      <c r="AZ243" s="4"/>
    </row>
    <row r="244" ht="12.75" customHeight="1">
      <c r="D244" s="1"/>
      <c r="J244" s="1"/>
      <c r="P244" s="1"/>
      <c r="V244" s="1"/>
      <c r="AB244" s="1"/>
      <c r="AH244" s="1"/>
      <c r="AN244" s="1"/>
      <c r="AT244" s="1"/>
      <c r="AZ244" s="4"/>
    </row>
    <row r="245" ht="12.75" customHeight="1">
      <c r="D245" s="1"/>
      <c r="J245" s="1"/>
      <c r="P245" s="1"/>
      <c r="V245" s="1"/>
      <c r="AB245" s="1"/>
      <c r="AH245" s="1"/>
      <c r="AN245" s="1"/>
      <c r="AT245" s="1"/>
      <c r="AZ245" s="4"/>
    </row>
    <row r="246" ht="12.75" customHeight="1">
      <c r="D246" s="1"/>
      <c r="J246" s="1"/>
      <c r="P246" s="1"/>
      <c r="V246" s="1"/>
      <c r="AB246" s="1"/>
      <c r="AH246" s="1"/>
      <c r="AN246" s="1"/>
      <c r="AT246" s="1"/>
      <c r="AZ246" s="4"/>
    </row>
    <row r="247" ht="12.75" customHeight="1">
      <c r="D247" s="1"/>
      <c r="J247" s="1"/>
      <c r="P247" s="1"/>
      <c r="V247" s="1"/>
      <c r="AB247" s="1"/>
      <c r="AH247" s="1"/>
      <c r="AN247" s="1"/>
      <c r="AT247" s="1"/>
      <c r="AZ247" s="4"/>
    </row>
    <row r="248" ht="12.75" customHeight="1">
      <c r="D248" s="1"/>
      <c r="J248" s="1"/>
      <c r="P248" s="1"/>
      <c r="V248" s="1"/>
      <c r="AB248" s="1"/>
      <c r="AH248" s="1"/>
      <c r="AN248" s="1"/>
      <c r="AT248" s="1"/>
      <c r="AZ248" s="4"/>
    </row>
    <row r="249" ht="12.75" customHeight="1">
      <c r="D249" s="1"/>
      <c r="J249" s="1"/>
      <c r="P249" s="1"/>
      <c r="V249" s="1"/>
      <c r="AB249" s="1"/>
      <c r="AH249" s="1"/>
      <c r="AN249" s="1"/>
      <c r="AT249" s="1"/>
      <c r="AZ249" s="4"/>
    </row>
    <row r="250" ht="12.75" customHeight="1">
      <c r="D250" s="1"/>
      <c r="J250" s="1"/>
      <c r="P250" s="1"/>
      <c r="V250" s="1"/>
      <c r="AB250" s="1"/>
      <c r="AH250" s="1"/>
      <c r="AN250" s="1"/>
      <c r="AT250" s="1"/>
      <c r="AZ250" s="4"/>
    </row>
    <row r="251" ht="12.75" customHeight="1">
      <c r="D251" s="1"/>
      <c r="J251" s="1"/>
      <c r="P251" s="1"/>
      <c r="V251" s="1"/>
      <c r="AB251" s="1"/>
      <c r="AH251" s="1"/>
      <c r="AN251" s="1"/>
      <c r="AT251" s="1"/>
      <c r="AZ251" s="4"/>
    </row>
    <row r="252" ht="12.75" customHeight="1">
      <c r="D252" s="1"/>
      <c r="J252" s="1"/>
      <c r="P252" s="1"/>
      <c r="V252" s="1"/>
      <c r="AB252" s="1"/>
      <c r="AH252" s="1"/>
      <c r="AN252" s="1"/>
      <c r="AT252" s="1"/>
      <c r="AZ252" s="4"/>
    </row>
    <row r="253" ht="12.75" customHeight="1">
      <c r="D253" s="1"/>
      <c r="J253" s="1"/>
      <c r="P253" s="1"/>
      <c r="V253" s="1"/>
      <c r="AB253" s="1"/>
      <c r="AH253" s="1"/>
      <c r="AN253" s="1"/>
      <c r="AT253" s="1"/>
      <c r="AZ253" s="4"/>
    </row>
    <row r="254" ht="12.75" customHeight="1">
      <c r="D254" s="1"/>
      <c r="J254" s="1"/>
      <c r="P254" s="1"/>
      <c r="V254" s="1"/>
      <c r="AB254" s="1"/>
      <c r="AH254" s="1"/>
      <c r="AN254" s="1"/>
      <c r="AT254" s="1"/>
      <c r="AZ254" s="4"/>
    </row>
    <row r="255" ht="12.75" customHeight="1">
      <c r="D255" s="1"/>
      <c r="J255" s="1"/>
      <c r="P255" s="1"/>
      <c r="V255" s="1"/>
      <c r="AB255" s="1"/>
      <c r="AH255" s="1"/>
      <c r="AN255" s="1"/>
      <c r="AT255" s="1"/>
      <c r="AZ255" s="4"/>
    </row>
    <row r="256" ht="12.75" customHeight="1">
      <c r="D256" s="1"/>
      <c r="J256" s="1"/>
      <c r="P256" s="1"/>
      <c r="V256" s="1"/>
      <c r="AB256" s="1"/>
      <c r="AH256" s="1"/>
      <c r="AN256" s="1"/>
      <c r="AT256" s="1"/>
      <c r="AZ256" s="4"/>
    </row>
    <row r="257" ht="12.75" customHeight="1">
      <c r="D257" s="1"/>
      <c r="J257" s="1"/>
      <c r="P257" s="1"/>
      <c r="V257" s="1"/>
      <c r="AB257" s="1"/>
      <c r="AH257" s="1"/>
      <c r="AN257" s="1"/>
      <c r="AT257" s="1"/>
      <c r="AZ257" s="4"/>
    </row>
    <row r="258" ht="12.75" customHeight="1">
      <c r="D258" s="1"/>
      <c r="J258" s="1"/>
      <c r="P258" s="1"/>
      <c r="V258" s="1"/>
      <c r="AB258" s="1"/>
      <c r="AH258" s="1"/>
      <c r="AN258" s="1"/>
      <c r="AT258" s="1"/>
      <c r="AZ258" s="4"/>
    </row>
    <row r="259" ht="12.75" customHeight="1">
      <c r="D259" s="1"/>
      <c r="J259" s="1"/>
      <c r="P259" s="1"/>
      <c r="V259" s="1"/>
      <c r="AB259" s="1"/>
      <c r="AH259" s="1"/>
      <c r="AN259" s="1"/>
      <c r="AT259" s="1"/>
      <c r="AZ259" s="4"/>
    </row>
    <row r="260" ht="12.75" customHeight="1">
      <c r="D260" s="1"/>
      <c r="J260" s="1"/>
      <c r="P260" s="1"/>
      <c r="V260" s="1"/>
      <c r="AB260" s="1"/>
      <c r="AH260" s="1"/>
      <c r="AN260" s="1"/>
      <c r="AT260" s="1"/>
      <c r="AZ260" s="4"/>
    </row>
    <row r="261" ht="12.75" customHeight="1">
      <c r="D261" s="1"/>
      <c r="J261" s="1"/>
      <c r="P261" s="1"/>
      <c r="V261" s="1"/>
      <c r="AB261" s="1"/>
      <c r="AH261" s="1"/>
      <c r="AN261" s="1"/>
      <c r="AT261" s="1"/>
      <c r="AZ261" s="4"/>
    </row>
    <row r="262" ht="12.75" customHeight="1">
      <c r="D262" s="1"/>
      <c r="J262" s="1"/>
      <c r="P262" s="1"/>
      <c r="V262" s="1"/>
      <c r="AB262" s="1"/>
      <c r="AH262" s="1"/>
      <c r="AN262" s="1"/>
      <c r="AT262" s="1"/>
      <c r="AZ262" s="4"/>
    </row>
    <row r="263" ht="12.75" customHeight="1">
      <c r="D263" s="1"/>
      <c r="J263" s="1"/>
      <c r="P263" s="1"/>
      <c r="V263" s="1"/>
      <c r="AB263" s="1"/>
      <c r="AH263" s="1"/>
      <c r="AN263" s="1"/>
      <c r="AT263" s="1"/>
      <c r="AZ263" s="4"/>
    </row>
    <row r="264" ht="12.75" customHeight="1">
      <c r="D264" s="1"/>
      <c r="J264" s="1"/>
      <c r="P264" s="1"/>
      <c r="V264" s="1"/>
      <c r="AB264" s="1"/>
      <c r="AH264" s="1"/>
      <c r="AN264" s="1"/>
      <c r="AT264" s="1"/>
      <c r="AZ264" s="4"/>
    </row>
    <row r="265" ht="12.75" customHeight="1">
      <c r="D265" s="1"/>
      <c r="J265" s="1"/>
      <c r="P265" s="1"/>
      <c r="V265" s="1"/>
      <c r="AB265" s="1"/>
      <c r="AH265" s="1"/>
      <c r="AN265" s="1"/>
      <c r="AT265" s="1"/>
      <c r="AZ265" s="4"/>
    </row>
    <row r="266" ht="12.75" customHeight="1">
      <c r="D266" s="1"/>
      <c r="J266" s="1"/>
      <c r="P266" s="1"/>
      <c r="V266" s="1"/>
      <c r="AB266" s="1"/>
      <c r="AH266" s="1"/>
      <c r="AN266" s="1"/>
      <c r="AT266" s="1"/>
      <c r="AZ266" s="4"/>
    </row>
    <row r="267" ht="12.75" customHeight="1">
      <c r="D267" s="1"/>
      <c r="J267" s="1"/>
      <c r="P267" s="1"/>
      <c r="V267" s="1"/>
      <c r="AB267" s="1"/>
      <c r="AH267" s="1"/>
      <c r="AN267" s="1"/>
      <c r="AT267" s="1"/>
      <c r="AZ267" s="4"/>
    </row>
    <row r="268" ht="12.75" customHeight="1">
      <c r="D268" s="1"/>
      <c r="J268" s="1"/>
      <c r="P268" s="1"/>
      <c r="V268" s="1"/>
      <c r="AB268" s="1"/>
      <c r="AH268" s="1"/>
      <c r="AN268" s="1"/>
      <c r="AT268" s="1"/>
      <c r="AZ268" s="4"/>
    </row>
    <row r="269" ht="12.75" customHeight="1">
      <c r="D269" s="1"/>
      <c r="J269" s="1"/>
      <c r="P269" s="1"/>
      <c r="V269" s="1"/>
      <c r="AB269" s="1"/>
      <c r="AH269" s="1"/>
      <c r="AN269" s="1"/>
      <c r="AT269" s="1"/>
      <c r="AZ269" s="4"/>
    </row>
    <row r="270" ht="12.75" customHeight="1">
      <c r="D270" s="1"/>
      <c r="J270" s="1"/>
      <c r="P270" s="1"/>
      <c r="V270" s="1"/>
      <c r="AB270" s="1"/>
      <c r="AH270" s="1"/>
      <c r="AN270" s="1"/>
      <c r="AT270" s="1"/>
      <c r="AZ270" s="4"/>
    </row>
    <row r="271" ht="12.75" customHeight="1">
      <c r="D271" s="1"/>
      <c r="J271" s="1"/>
      <c r="P271" s="1"/>
      <c r="V271" s="1"/>
      <c r="AB271" s="1"/>
      <c r="AH271" s="1"/>
      <c r="AN271" s="1"/>
      <c r="AT271" s="1"/>
      <c r="AZ271" s="4"/>
    </row>
    <row r="272" ht="12.75" customHeight="1">
      <c r="D272" s="1"/>
      <c r="J272" s="1"/>
      <c r="P272" s="1"/>
      <c r="V272" s="1"/>
      <c r="AB272" s="1"/>
      <c r="AH272" s="1"/>
      <c r="AN272" s="1"/>
      <c r="AT272" s="1"/>
      <c r="AZ272" s="4"/>
    </row>
    <row r="273" ht="12.75" customHeight="1">
      <c r="D273" s="1"/>
      <c r="J273" s="1"/>
      <c r="P273" s="1"/>
      <c r="V273" s="1"/>
      <c r="AB273" s="1"/>
      <c r="AH273" s="1"/>
      <c r="AN273" s="1"/>
      <c r="AT273" s="1"/>
      <c r="AZ273" s="4"/>
    </row>
    <row r="274" ht="12.75" customHeight="1">
      <c r="D274" s="1"/>
      <c r="J274" s="1"/>
      <c r="P274" s="1"/>
      <c r="V274" s="1"/>
      <c r="AB274" s="1"/>
      <c r="AH274" s="1"/>
      <c r="AN274" s="1"/>
      <c r="AT274" s="1"/>
      <c r="AZ274" s="4"/>
    </row>
    <row r="275" ht="12.75" customHeight="1">
      <c r="D275" s="1"/>
      <c r="J275" s="1"/>
      <c r="P275" s="1"/>
      <c r="V275" s="1"/>
      <c r="AB275" s="1"/>
      <c r="AH275" s="1"/>
      <c r="AN275" s="1"/>
      <c r="AT275" s="1"/>
      <c r="AZ275" s="4"/>
    </row>
    <row r="276" ht="12.75" customHeight="1">
      <c r="D276" s="1"/>
      <c r="J276" s="1"/>
      <c r="P276" s="1"/>
      <c r="V276" s="1"/>
      <c r="AB276" s="1"/>
      <c r="AH276" s="1"/>
      <c r="AN276" s="1"/>
      <c r="AT276" s="1"/>
      <c r="AZ276" s="4"/>
    </row>
    <row r="277" ht="12.75" customHeight="1">
      <c r="D277" s="1"/>
      <c r="J277" s="1"/>
      <c r="P277" s="1"/>
      <c r="V277" s="1"/>
      <c r="AB277" s="1"/>
      <c r="AH277" s="1"/>
      <c r="AN277" s="1"/>
      <c r="AT277" s="1"/>
      <c r="AZ277" s="4"/>
    </row>
    <row r="278" ht="12.75" customHeight="1">
      <c r="D278" s="1"/>
      <c r="J278" s="1"/>
      <c r="P278" s="1"/>
      <c r="V278" s="1"/>
      <c r="AB278" s="1"/>
      <c r="AH278" s="1"/>
      <c r="AN278" s="1"/>
      <c r="AT278" s="1"/>
      <c r="AZ278" s="4"/>
    </row>
    <row r="279" ht="12.75" customHeight="1">
      <c r="D279" s="1"/>
      <c r="J279" s="1"/>
      <c r="P279" s="1"/>
      <c r="V279" s="1"/>
      <c r="AB279" s="1"/>
      <c r="AH279" s="1"/>
      <c r="AN279" s="1"/>
      <c r="AT279" s="1"/>
      <c r="AZ279" s="4"/>
    </row>
    <row r="280" ht="12.75" customHeight="1">
      <c r="D280" s="1"/>
      <c r="J280" s="1"/>
      <c r="P280" s="1"/>
      <c r="V280" s="1"/>
      <c r="AB280" s="1"/>
      <c r="AH280" s="1"/>
      <c r="AN280" s="1"/>
      <c r="AT280" s="1"/>
      <c r="AZ280" s="4"/>
    </row>
    <row r="281" ht="12.75" customHeight="1">
      <c r="D281" s="1"/>
      <c r="J281" s="1"/>
      <c r="P281" s="1"/>
      <c r="V281" s="1"/>
      <c r="AB281" s="1"/>
      <c r="AH281" s="1"/>
      <c r="AN281" s="1"/>
      <c r="AT281" s="1"/>
      <c r="AZ281" s="4"/>
    </row>
    <row r="282" ht="12.75" customHeight="1">
      <c r="D282" s="1"/>
      <c r="J282" s="1"/>
      <c r="P282" s="1"/>
      <c r="V282" s="1"/>
      <c r="AB282" s="1"/>
      <c r="AH282" s="1"/>
      <c r="AN282" s="1"/>
      <c r="AT282" s="1"/>
      <c r="AZ282" s="4"/>
    </row>
    <row r="283" ht="12.75" customHeight="1">
      <c r="D283" s="1"/>
      <c r="J283" s="1"/>
      <c r="P283" s="1"/>
      <c r="V283" s="1"/>
      <c r="AB283" s="1"/>
      <c r="AH283" s="1"/>
      <c r="AN283" s="1"/>
      <c r="AT283" s="1"/>
      <c r="AZ283" s="4"/>
    </row>
    <row r="284" ht="12.75" customHeight="1">
      <c r="D284" s="1"/>
      <c r="J284" s="1"/>
      <c r="P284" s="1"/>
      <c r="V284" s="1"/>
      <c r="AB284" s="1"/>
      <c r="AH284" s="1"/>
      <c r="AN284" s="1"/>
      <c r="AT284" s="1"/>
      <c r="AZ284" s="4"/>
    </row>
    <row r="285" ht="12.75" customHeight="1">
      <c r="D285" s="1"/>
      <c r="J285" s="1"/>
      <c r="P285" s="1"/>
      <c r="V285" s="1"/>
      <c r="AB285" s="1"/>
      <c r="AH285" s="1"/>
      <c r="AN285" s="1"/>
      <c r="AT285" s="1"/>
      <c r="AZ285" s="4"/>
    </row>
    <row r="286" ht="12.75" customHeight="1">
      <c r="D286" s="1"/>
      <c r="J286" s="1"/>
      <c r="P286" s="1"/>
      <c r="V286" s="1"/>
      <c r="AB286" s="1"/>
      <c r="AH286" s="1"/>
      <c r="AN286" s="1"/>
      <c r="AT286" s="1"/>
      <c r="AZ286" s="4"/>
    </row>
    <row r="287" ht="12.75" customHeight="1">
      <c r="D287" s="1"/>
      <c r="J287" s="1"/>
      <c r="P287" s="1"/>
      <c r="V287" s="1"/>
      <c r="AB287" s="1"/>
      <c r="AH287" s="1"/>
      <c r="AN287" s="1"/>
      <c r="AT287" s="1"/>
      <c r="AZ287" s="4"/>
    </row>
    <row r="288" ht="12.75" customHeight="1">
      <c r="D288" s="1"/>
      <c r="J288" s="1"/>
      <c r="P288" s="1"/>
      <c r="V288" s="1"/>
      <c r="AB288" s="1"/>
      <c r="AH288" s="1"/>
      <c r="AN288" s="1"/>
      <c r="AT288" s="1"/>
      <c r="AZ288" s="4"/>
    </row>
    <row r="289" ht="12.75" customHeight="1">
      <c r="D289" s="1"/>
      <c r="J289" s="1"/>
      <c r="P289" s="1"/>
      <c r="V289" s="1"/>
      <c r="AB289" s="1"/>
      <c r="AH289" s="1"/>
      <c r="AN289" s="1"/>
      <c r="AT289" s="1"/>
      <c r="AZ289" s="4"/>
    </row>
    <row r="290" ht="12.75" customHeight="1">
      <c r="D290" s="1"/>
      <c r="J290" s="1"/>
      <c r="P290" s="1"/>
      <c r="V290" s="1"/>
      <c r="AB290" s="1"/>
      <c r="AH290" s="1"/>
      <c r="AN290" s="1"/>
      <c r="AT290" s="1"/>
      <c r="AZ290" s="4"/>
    </row>
    <row r="291" ht="12.75" customHeight="1">
      <c r="D291" s="1"/>
      <c r="J291" s="1"/>
      <c r="P291" s="1"/>
      <c r="V291" s="1"/>
      <c r="AB291" s="1"/>
      <c r="AH291" s="1"/>
      <c r="AN291" s="1"/>
      <c r="AT291" s="1"/>
      <c r="AZ291" s="4"/>
    </row>
    <row r="292" ht="12.75" customHeight="1">
      <c r="D292" s="1"/>
      <c r="J292" s="1"/>
      <c r="P292" s="1"/>
      <c r="V292" s="1"/>
      <c r="AB292" s="1"/>
      <c r="AH292" s="1"/>
      <c r="AN292" s="1"/>
      <c r="AT292" s="1"/>
      <c r="AZ292" s="4"/>
    </row>
    <row r="293" ht="12.75" customHeight="1">
      <c r="D293" s="1"/>
      <c r="J293" s="1"/>
      <c r="P293" s="1"/>
      <c r="V293" s="1"/>
      <c r="AB293" s="1"/>
      <c r="AH293" s="1"/>
      <c r="AN293" s="1"/>
      <c r="AT293" s="1"/>
      <c r="AZ293" s="4"/>
    </row>
    <row r="294" ht="12.75" customHeight="1">
      <c r="D294" s="1"/>
      <c r="J294" s="1"/>
      <c r="P294" s="1"/>
      <c r="V294" s="1"/>
      <c r="AB294" s="1"/>
      <c r="AH294" s="1"/>
      <c r="AN294" s="1"/>
      <c r="AT294" s="1"/>
      <c r="AZ294" s="4"/>
    </row>
    <row r="295" ht="12.75" customHeight="1">
      <c r="D295" s="1"/>
      <c r="J295" s="1"/>
      <c r="P295" s="1"/>
      <c r="V295" s="1"/>
      <c r="AB295" s="1"/>
      <c r="AH295" s="1"/>
      <c r="AN295" s="1"/>
      <c r="AT295" s="1"/>
      <c r="AZ295" s="4"/>
    </row>
    <row r="296" ht="12.75" customHeight="1">
      <c r="D296" s="1"/>
      <c r="J296" s="1"/>
      <c r="P296" s="1"/>
      <c r="V296" s="1"/>
      <c r="AB296" s="1"/>
      <c r="AH296" s="1"/>
      <c r="AN296" s="1"/>
      <c r="AT296" s="1"/>
      <c r="AZ296" s="4"/>
    </row>
    <row r="297" ht="12.75" customHeight="1">
      <c r="D297" s="1"/>
      <c r="J297" s="1"/>
      <c r="P297" s="1"/>
      <c r="V297" s="1"/>
      <c r="AB297" s="1"/>
      <c r="AH297" s="1"/>
      <c r="AN297" s="1"/>
      <c r="AT297" s="1"/>
      <c r="AZ297" s="4"/>
    </row>
    <row r="298" ht="12.75" customHeight="1">
      <c r="D298" s="1"/>
      <c r="J298" s="1"/>
      <c r="P298" s="1"/>
      <c r="V298" s="1"/>
      <c r="AB298" s="1"/>
      <c r="AH298" s="1"/>
      <c r="AN298" s="1"/>
      <c r="AT298" s="1"/>
      <c r="AZ298" s="4"/>
    </row>
    <row r="299" ht="12.75" customHeight="1">
      <c r="D299" s="1"/>
      <c r="J299" s="1"/>
      <c r="P299" s="1"/>
      <c r="V299" s="1"/>
      <c r="AB299" s="1"/>
      <c r="AH299" s="1"/>
      <c r="AN299" s="1"/>
      <c r="AT299" s="1"/>
      <c r="AZ299" s="4"/>
    </row>
    <row r="300" ht="12.75" customHeight="1">
      <c r="D300" s="1"/>
      <c r="J300" s="1"/>
      <c r="P300" s="1"/>
      <c r="V300" s="1"/>
      <c r="AB300" s="1"/>
      <c r="AH300" s="1"/>
      <c r="AN300" s="1"/>
      <c r="AT300" s="1"/>
      <c r="AZ300" s="4"/>
    </row>
    <row r="301" ht="12.75" customHeight="1">
      <c r="D301" s="1"/>
      <c r="J301" s="1"/>
      <c r="P301" s="1"/>
      <c r="V301" s="1"/>
      <c r="AB301" s="1"/>
      <c r="AH301" s="1"/>
      <c r="AN301" s="1"/>
      <c r="AT301" s="1"/>
      <c r="AZ301" s="4"/>
    </row>
    <row r="302" ht="12.75" customHeight="1">
      <c r="D302" s="1"/>
      <c r="J302" s="1"/>
      <c r="P302" s="1"/>
      <c r="V302" s="1"/>
      <c r="AB302" s="1"/>
      <c r="AH302" s="1"/>
      <c r="AN302" s="1"/>
      <c r="AT302" s="1"/>
      <c r="AZ302" s="4"/>
    </row>
    <row r="303" ht="12.75" customHeight="1">
      <c r="D303" s="1"/>
      <c r="J303" s="1"/>
      <c r="P303" s="1"/>
      <c r="V303" s="1"/>
      <c r="AB303" s="1"/>
      <c r="AH303" s="1"/>
      <c r="AN303" s="1"/>
      <c r="AT303" s="1"/>
      <c r="AZ303" s="4"/>
    </row>
    <row r="304" ht="12.75" customHeight="1">
      <c r="D304" s="1"/>
      <c r="J304" s="1"/>
      <c r="P304" s="1"/>
      <c r="V304" s="1"/>
      <c r="AB304" s="1"/>
      <c r="AH304" s="1"/>
      <c r="AN304" s="1"/>
      <c r="AT304" s="1"/>
      <c r="AZ304" s="4"/>
    </row>
    <row r="305" ht="12.75" customHeight="1">
      <c r="D305" s="1"/>
      <c r="J305" s="1"/>
      <c r="P305" s="1"/>
      <c r="V305" s="1"/>
      <c r="AB305" s="1"/>
      <c r="AH305" s="1"/>
      <c r="AN305" s="1"/>
      <c r="AT305" s="1"/>
      <c r="AZ305" s="4"/>
    </row>
    <row r="306" ht="12.75" customHeight="1">
      <c r="D306" s="1"/>
      <c r="J306" s="1"/>
      <c r="P306" s="1"/>
      <c r="V306" s="1"/>
      <c r="AB306" s="1"/>
      <c r="AH306" s="1"/>
      <c r="AN306" s="1"/>
      <c r="AT306" s="1"/>
      <c r="AZ306" s="4"/>
    </row>
    <row r="307" ht="12.75" customHeight="1">
      <c r="D307" s="1"/>
      <c r="J307" s="1"/>
      <c r="P307" s="1"/>
      <c r="V307" s="1"/>
      <c r="AB307" s="1"/>
      <c r="AH307" s="1"/>
      <c r="AN307" s="1"/>
      <c r="AT307" s="1"/>
      <c r="AZ307" s="4"/>
    </row>
    <row r="308" ht="12.75" customHeight="1">
      <c r="D308" s="1"/>
      <c r="J308" s="1"/>
      <c r="P308" s="1"/>
      <c r="V308" s="1"/>
      <c r="AB308" s="1"/>
      <c r="AH308" s="1"/>
      <c r="AN308" s="1"/>
      <c r="AT308" s="1"/>
      <c r="AZ308" s="4"/>
    </row>
    <row r="309" ht="12.75" customHeight="1">
      <c r="D309" s="1"/>
      <c r="J309" s="1"/>
      <c r="P309" s="1"/>
      <c r="V309" s="1"/>
      <c r="AB309" s="1"/>
      <c r="AH309" s="1"/>
      <c r="AN309" s="1"/>
      <c r="AT309" s="1"/>
      <c r="AZ309" s="4"/>
    </row>
    <row r="310" ht="12.75" customHeight="1">
      <c r="D310" s="1"/>
      <c r="J310" s="1"/>
      <c r="P310" s="1"/>
      <c r="V310" s="1"/>
      <c r="AB310" s="1"/>
      <c r="AH310" s="1"/>
      <c r="AN310" s="1"/>
      <c r="AT310" s="1"/>
      <c r="AZ310" s="4"/>
    </row>
    <row r="311" ht="12.75" customHeight="1">
      <c r="D311" s="1"/>
      <c r="J311" s="1"/>
      <c r="P311" s="1"/>
      <c r="V311" s="1"/>
      <c r="AB311" s="1"/>
      <c r="AH311" s="1"/>
      <c r="AN311" s="1"/>
      <c r="AT311" s="1"/>
      <c r="AZ311" s="4"/>
    </row>
    <row r="312" ht="12.75" customHeight="1">
      <c r="D312" s="1"/>
      <c r="J312" s="1"/>
      <c r="P312" s="1"/>
      <c r="V312" s="1"/>
      <c r="AB312" s="1"/>
      <c r="AH312" s="1"/>
      <c r="AN312" s="1"/>
      <c r="AT312" s="1"/>
      <c r="AZ312" s="4"/>
    </row>
    <row r="313" ht="12.75" customHeight="1">
      <c r="D313" s="1"/>
      <c r="J313" s="1"/>
      <c r="P313" s="1"/>
      <c r="V313" s="1"/>
      <c r="AB313" s="1"/>
      <c r="AH313" s="1"/>
      <c r="AN313" s="1"/>
      <c r="AT313" s="1"/>
      <c r="AZ313" s="4"/>
    </row>
    <row r="314" ht="12.75" customHeight="1">
      <c r="D314" s="1"/>
      <c r="J314" s="1"/>
      <c r="P314" s="1"/>
      <c r="V314" s="1"/>
      <c r="AB314" s="1"/>
      <c r="AH314" s="1"/>
      <c r="AN314" s="1"/>
      <c r="AT314" s="1"/>
      <c r="AZ314" s="4"/>
    </row>
    <row r="315" ht="12.75" customHeight="1">
      <c r="D315" s="1"/>
      <c r="J315" s="1"/>
      <c r="P315" s="1"/>
      <c r="V315" s="1"/>
      <c r="AB315" s="1"/>
      <c r="AH315" s="1"/>
      <c r="AN315" s="1"/>
      <c r="AT315" s="1"/>
      <c r="AZ315" s="4"/>
    </row>
    <row r="316" ht="12.75" customHeight="1">
      <c r="D316" s="1"/>
      <c r="J316" s="1"/>
      <c r="P316" s="1"/>
      <c r="V316" s="1"/>
      <c r="AB316" s="1"/>
      <c r="AH316" s="1"/>
      <c r="AN316" s="1"/>
      <c r="AT316" s="1"/>
      <c r="AZ316" s="4"/>
    </row>
    <row r="317" ht="12.75" customHeight="1">
      <c r="D317" s="1"/>
      <c r="J317" s="1"/>
      <c r="P317" s="1"/>
      <c r="V317" s="1"/>
      <c r="AB317" s="1"/>
      <c r="AH317" s="1"/>
      <c r="AN317" s="1"/>
      <c r="AT317" s="1"/>
      <c r="AZ317" s="4"/>
    </row>
    <row r="318" ht="12.75" customHeight="1">
      <c r="D318" s="1"/>
      <c r="J318" s="1"/>
      <c r="P318" s="1"/>
      <c r="V318" s="1"/>
      <c r="AB318" s="1"/>
      <c r="AH318" s="1"/>
      <c r="AN318" s="1"/>
      <c r="AT318" s="1"/>
      <c r="AZ318" s="4"/>
    </row>
    <row r="319" ht="12.75" customHeight="1">
      <c r="D319" s="1"/>
      <c r="J319" s="1"/>
      <c r="P319" s="1"/>
      <c r="V319" s="1"/>
      <c r="AB319" s="1"/>
      <c r="AH319" s="1"/>
      <c r="AN319" s="1"/>
      <c r="AT319" s="1"/>
      <c r="AZ319" s="4"/>
    </row>
    <row r="320" ht="12.75" customHeight="1">
      <c r="D320" s="1"/>
      <c r="J320" s="1"/>
      <c r="P320" s="1"/>
      <c r="V320" s="1"/>
      <c r="AB320" s="1"/>
      <c r="AH320" s="1"/>
      <c r="AN320" s="1"/>
      <c r="AT320" s="1"/>
      <c r="AZ320" s="4"/>
    </row>
    <row r="321" ht="12.75" customHeight="1">
      <c r="D321" s="1"/>
      <c r="J321" s="1"/>
      <c r="P321" s="1"/>
      <c r="V321" s="1"/>
      <c r="AB321" s="1"/>
      <c r="AH321" s="1"/>
      <c r="AN321" s="1"/>
      <c r="AT321" s="1"/>
      <c r="AZ321" s="4"/>
    </row>
    <row r="322" ht="12.75" customHeight="1">
      <c r="D322" s="1"/>
      <c r="J322" s="1"/>
      <c r="P322" s="1"/>
      <c r="V322" s="1"/>
      <c r="AB322" s="1"/>
      <c r="AH322" s="1"/>
      <c r="AN322" s="1"/>
      <c r="AT322" s="1"/>
      <c r="AZ322" s="4"/>
    </row>
    <row r="323" ht="12.75" customHeight="1">
      <c r="D323" s="1"/>
      <c r="J323" s="1"/>
      <c r="P323" s="1"/>
      <c r="V323" s="1"/>
      <c r="AB323" s="1"/>
      <c r="AH323" s="1"/>
      <c r="AN323" s="1"/>
      <c r="AT323" s="1"/>
      <c r="AZ323" s="4"/>
    </row>
    <row r="324" ht="12.75" customHeight="1">
      <c r="D324" s="1"/>
      <c r="J324" s="1"/>
      <c r="P324" s="1"/>
      <c r="V324" s="1"/>
      <c r="AB324" s="1"/>
      <c r="AH324" s="1"/>
      <c r="AN324" s="1"/>
      <c r="AT324" s="1"/>
      <c r="AZ324" s="4"/>
    </row>
    <row r="325" ht="12.75" customHeight="1">
      <c r="D325" s="1"/>
      <c r="J325" s="1"/>
      <c r="P325" s="1"/>
      <c r="V325" s="1"/>
      <c r="AB325" s="1"/>
      <c r="AH325" s="1"/>
      <c r="AN325" s="1"/>
      <c r="AT325" s="1"/>
      <c r="AZ325" s="4"/>
    </row>
    <row r="326" ht="12.75" customHeight="1">
      <c r="D326" s="1"/>
      <c r="J326" s="1"/>
      <c r="P326" s="1"/>
      <c r="V326" s="1"/>
      <c r="AB326" s="1"/>
      <c r="AH326" s="1"/>
      <c r="AN326" s="1"/>
      <c r="AT326" s="1"/>
      <c r="AZ326" s="4"/>
    </row>
    <row r="327" ht="12.75" customHeight="1">
      <c r="D327" s="1"/>
      <c r="J327" s="1"/>
      <c r="P327" s="1"/>
      <c r="V327" s="1"/>
      <c r="AB327" s="1"/>
      <c r="AH327" s="1"/>
      <c r="AN327" s="1"/>
      <c r="AT327" s="1"/>
      <c r="AZ327" s="4"/>
    </row>
    <row r="328" ht="12.75" customHeight="1">
      <c r="D328" s="1"/>
      <c r="J328" s="1"/>
      <c r="P328" s="1"/>
      <c r="V328" s="1"/>
      <c r="AB328" s="1"/>
      <c r="AH328" s="1"/>
      <c r="AN328" s="1"/>
      <c r="AT328" s="1"/>
      <c r="AZ328" s="4"/>
    </row>
    <row r="329" ht="12.75" customHeight="1">
      <c r="D329" s="1"/>
      <c r="J329" s="1"/>
      <c r="P329" s="1"/>
      <c r="V329" s="1"/>
      <c r="AB329" s="1"/>
      <c r="AH329" s="1"/>
      <c r="AN329" s="1"/>
      <c r="AT329" s="1"/>
      <c r="AZ329" s="4"/>
    </row>
    <row r="330" ht="12.75" customHeight="1">
      <c r="D330" s="1"/>
      <c r="J330" s="1"/>
      <c r="P330" s="1"/>
      <c r="V330" s="1"/>
      <c r="AB330" s="1"/>
      <c r="AH330" s="1"/>
      <c r="AN330" s="1"/>
      <c r="AT330" s="1"/>
      <c r="AZ330" s="4"/>
    </row>
    <row r="331" ht="12.75" customHeight="1">
      <c r="D331" s="1"/>
      <c r="J331" s="1"/>
      <c r="P331" s="1"/>
      <c r="V331" s="1"/>
      <c r="AB331" s="1"/>
      <c r="AH331" s="1"/>
      <c r="AN331" s="1"/>
      <c r="AT331" s="1"/>
      <c r="AZ331" s="4"/>
    </row>
    <row r="332" ht="12.75" customHeight="1">
      <c r="D332" s="1"/>
      <c r="J332" s="1"/>
      <c r="P332" s="1"/>
      <c r="V332" s="1"/>
      <c r="AB332" s="1"/>
      <c r="AH332" s="1"/>
      <c r="AN332" s="1"/>
      <c r="AT332" s="1"/>
      <c r="AZ332" s="4"/>
    </row>
    <row r="333" ht="12.75" customHeight="1">
      <c r="D333" s="1"/>
      <c r="J333" s="1"/>
      <c r="P333" s="1"/>
      <c r="V333" s="1"/>
      <c r="AB333" s="1"/>
      <c r="AH333" s="1"/>
      <c r="AN333" s="1"/>
      <c r="AT333" s="1"/>
      <c r="AZ333" s="4"/>
    </row>
    <row r="334" ht="12.75" customHeight="1">
      <c r="D334" s="1"/>
      <c r="J334" s="1"/>
      <c r="P334" s="1"/>
      <c r="V334" s="1"/>
      <c r="AB334" s="1"/>
      <c r="AH334" s="1"/>
      <c r="AN334" s="1"/>
      <c r="AT334" s="1"/>
      <c r="AZ334" s="4"/>
    </row>
    <row r="335" ht="12.75" customHeight="1">
      <c r="D335" s="1"/>
      <c r="J335" s="1"/>
      <c r="P335" s="1"/>
      <c r="V335" s="1"/>
      <c r="AB335" s="1"/>
      <c r="AH335" s="1"/>
      <c r="AN335" s="1"/>
      <c r="AT335" s="1"/>
      <c r="AZ335" s="4"/>
    </row>
    <row r="336" ht="12.75" customHeight="1">
      <c r="D336" s="1"/>
      <c r="J336" s="1"/>
      <c r="P336" s="1"/>
      <c r="V336" s="1"/>
      <c r="AB336" s="1"/>
      <c r="AH336" s="1"/>
      <c r="AN336" s="1"/>
      <c r="AT336" s="1"/>
      <c r="AZ336" s="4"/>
    </row>
    <row r="337" ht="12.75" customHeight="1">
      <c r="D337" s="1"/>
      <c r="J337" s="1"/>
      <c r="P337" s="1"/>
      <c r="V337" s="1"/>
      <c r="AB337" s="1"/>
      <c r="AH337" s="1"/>
      <c r="AN337" s="1"/>
      <c r="AT337" s="1"/>
      <c r="AZ337" s="4"/>
    </row>
    <row r="338" ht="12.75" customHeight="1">
      <c r="D338" s="1"/>
      <c r="J338" s="1"/>
      <c r="P338" s="1"/>
      <c r="V338" s="1"/>
      <c r="AB338" s="1"/>
      <c r="AH338" s="1"/>
      <c r="AN338" s="1"/>
      <c r="AT338" s="1"/>
      <c r="AZ338" s="4"/>
    </row>
    <row r="339" ht="12.75" customHeight="1">
      <c r="D339" s="1"/>
      <c r="J339" s="1"/>
      <c r="P339" s="1"/>
      <c r="V339" s="1"/>
      <c r="AB339" s="1"/>
      <c r="AH339" s="1"/>
      <c r="AN339" s="1"/>
      <c r="AT339" s="1"/>
      <c r="AZ339" s="4"/>
    </row>
    <row r="340" ht="12.75" customHeight="1">
      <c r="D340" s="1"/>
      <c r="J340" s="1"/>
      <c r="P340" s="1"/>
      <c r="V340" s="1"/>
      <c r="AB340" s="1"/>
      <c r="AH340" s="1"/>
      <c r="AN340" s="1"/>
      <c r="AT340" s="1"/>
      <c r="AZ340" s="4"/>
    </row>
    <row r="341" ht="12.75" customHeight="1">
      <c r="D341" s="1"/>
      <c r="J341" s="1"/>
      <c r="P341" s="1"/>
      <c r="V341" s="1"/>
      <c r="AB341" s="1"/>
      <c r="AH341" s="1"/>
      <c r="AN341" s="1"/>
      <c r="AT341" s="1"/>
      <c r="AZ341" s="4"/>
    </row>
    <row r="342" ht="12.75" customHeight="1">
      <c r="D342" s="1"/>
      <c r="J342" s="1"/>
      <c r="P342" s="1"/>
      <c r="V342" s="1"/>
      <c r="AB342" s="1"/>
      <c r="AH342" s="1"/>
      <c r="AN342" s="1"/>
      <c r="AT342" s="1"/>
      <c r="AZ342" s="4"/>
    </row>
    <row r="343" ht="12.75" customHeight="1">
      <c r="D343" s="1"/>
      <c r="J343" s="1"/>
      <c r="P343" s="1"/>
      <c r="V343" s="1"/>
      <c r="AB343" s="1"/>
      <c r="AH343" s="1"/>
      <c r="AN343" s="1"/>
      <c r="AT343" s="1"/>
      <c r="AZ343" s="4"/>
    </row>
    <row r="344" ht="12.75" customHeight="1">
      <c r="D344" s="1"/>
      <c r="J344" s="1"/>
      <c r="P344" s="1"/>
      <c r="V344" s="1"/>
      <c r="AB344" s="1"/>
      <c r="AH344" s="1"/>
      <c r="AN344" s="1"/>
      <c r="AT344" s="1"/>
      <c r="AZ344" s="4"/>
    </row>
    <row r="345" ht="12.75" customHeight="1">
      <c r="D345" s="1"/>
      <c r="J345" s="1"/>
      <c r="P345" s="1"/>
      <c r="V345" s="1"/>
      <c r="AB345" s="1"/>
      <c r="AH345" s="1"/>
      <c r="AN345" s="1"/>
      <c r="AT345" s="1"/>
      <c r="AZ345" s="4"/>
    </row>
    <row r="346" ht="12.75" customHeight="1">
      <c r="D346" s="1"/>
      <c r="J346" s="1"/>
      <c r="P346" s="1"/>
      <c r="V346" s="1"/>
      <c r="AB346" s="1"/>
      <c r="AH346" s="1"/>
      <c r="AN346" s="1"/>
      <c r="AT346" s="1"/>
      <c r="AZ346" s="4"/>
    </row>
    <row r="347" ht="12.75" customHeight="1">
      <c r="D347" s="1"/>
      <c r="J347" s="1"/>
      <c r="P347" s="1"/>
      <c r="V347" s="1"/>
      <c r="AB347" s="1"/>
      <c r="AH347" s="1"/>
      <c r="AN347" s="1"/>
      <c r="AT347" s="1"/>
      <c r="AZ347" s="4"/>
    </row>
    <row r="348" ht="12.75" customHeight="1">
      <c r="D348" s="1"/>
      <c r="J348" s="1"/>
      <c r="P348" s="1"/>
      <c r="V348" s="1"/>
      <c r="AB348" s="1"/>
      <c r="AH348" s="1"/>
      <c r="AN348" s="1"/>
      <c r="AT348" s="1"/>
      <c r="AZ348" s="4"/>
    </row>
    <row r="349" ht="12.75" customHeight="1">
      <c r="D349" s="1"/>
      <c r="J349" s="1"/>
      <c r="P349" s="1"/>
      <c r="V349" s="1"/>
      <c r="AB349" s="1"/>
      <c r="AH349" s="1"/>
      <c r="AN349" s="1"/>
      <c r="AT349" s="1"/>
      <c r="AZ349" s="4"/>
    </row>
    <row r="350" ht="12.75" customHeight="1">
      <c r="D350" s="1"/>
      <c r="J350" s="1"/>
      <c r="P350" s="1"/>
      <c r="V350" s="1"/>
      <c r="AB350" s="1"/>
      <c r="AH350" s="1"/>
      <c r="AN350" s="1"/>
      <c r="AT350" s="1"/>
      <c r="AZ350" s="4"/>
    </row>
    <row r="351" ht="12.75" customHeight="1">
      <c r="D351" s="1"/>
      <c r="J351" s="1"/>
      <c r="P351" s="1"/>
      <c r="V351" s="1"/>
      <c r="AB351" s="1"/>
      <c r="AH351" s="1"/>
      <c r="AN351" s="1"/>
      <c r="AT351" s="1"/>
      <c r="AZ351" s="4"/>
    </row>
    <row r="352" ht="12.75" customHeight="1">
      <c r="D352" s="1"/>
      <c r="J352" s="1"/>
      <c r="P352" s="1"/>
      <c r="V352" s="1"/>
      <c r="AB352" s="1"/>
      <c r="AH352" s="1"/>
      <c r="AN352" s="1"/>
      <c r="AT352" s="1"/>
      <c r="AZ352" s="4"/>
    </row>
    <row r="353" ht="12.75" customHeight="1">
      <c r="D353" s="1"/>
      <c r="J353" s="1"/>
      <c r="P353" s="1"/>
      <c r="V353" s="1"/>
      <c r="AB353" s="1"/>
      <c r="AH353" s="1"/>
      <c r="AN353" s="1"/>
      <c r="AT353" s="1"/>
      <c r="AZ353" s="4"/>
    </row>
    <row r="354" ht="12.75" customHeight="1">
      <c r="D354" s="1"/>
      <c r="J354" s="1"/>
      <c r="P354" s="1"/>
      <c r="V354" s="1"/>
      <c r="AB354" s="1"/>
      <c r="AH354" s="1"/>
      <c r="AN354" s="1"/>
      <c r="AT354" s="1"/>
      <c r="AZ354" s="4"/>
    </row>
    <row r="355" ht="12.75" customHeight="1">
      <c r="D355" s="1"/>
      <c r="J355" s="1"/>
      <c r="P355" s="1"/>
      <c r="V355" s="1"/>
      <c r="AB355" s="1"/>
      <c r="AH355" s="1"/>
      <c r="AN355" s="1"/>
      <c r="AT355" s="1"/>
      <c r="AZ355" s="4"/>
    </row>
    <row r="356" ht="12.75" customHeight="1">
      <c r="D356" s="1"/>
      <c r="J356" s="1"/>
      <c r="P356" s="1"/>
      <c r="V356" s="1"/>
      <c r="AB356" s="1"/>
      <c r="AH356" s="1"/>
      <c r="AN356" s="1"/>
      <c r="AT356" s="1"/>
      <c r="AZ356" s="4"/>
    </row>
    <row r="357" ht="12.75" customHeight="1">
      <c r="D357" s="1"/>
      <c r="J357" s="1"/>
      <c r="P357" s="1"/>
      <c r="V357" s="1"/>
      <c r="AB357" s="1"/>
      <c r="AH357" s="1"/>
      <c r="AN357" s="1"/>
      <c r="AT357" s="1"/>
      <c r="AZ357" s="4"/>
    </row>
    <row r="358" ht="12.75" customHeight="1">
      <c r="D358" s="1"/>
      <c r="J358" s="1"/>
      <c r="P358" s="1"/>
      <c r="V358" s="1"/>
      <c r="AB358" s="1"/>
      <c r="AH358" s="1"/>
      <c r="AN358" s="1"/>
      <c r="AT358" s="1"/>
      <c r="AZ358" s="4"/>
    </row>
    <row r="359" ht="12.75" customHeight="1">
      <c r="D359" s="1"/>
      <c r="J359" s="1"/>
      <c r="P359" s="1"/>
      <c r="V359" s="1"/>
      <c r="AB359" s="1"/>
      <c r="AH359" s="1"/>
      <c r="AN359" s="1"/>
      <c r="AT359" s="1"/>
      <c r="AZ359" s="4"/>
    </row>
    <row r="360" ht="12.75" customHeight="1">
      <c r="D360" s="1"/>
      <c r="J360" s="1"/>
      <c r="P360" s="1"/>
      <c r="V360" s="1"/>
      <c r="AB360" s="1"/>
      <c r="AH360" s="1"/>
      <c r="AN360" s="1"/>
      <c r="AT360" s="1"/>
      <c r="AZ360" s="4"/>
    </row>
    <row r="361" ht="12.75" customHeight="1">
      <c r="D361" s="1"/>
      <c r="J361" s="1"/>
      <c r="P361" s="1"/>
      <c r="V361" s="1"/>
      <c r="AB361" s="1"/>
      <c r="AH361" s="1"/>
      <c r="AN361" s="1"/>
      <c r="AT361" s="1"/>
      <c r="AZ361" s="4"/>
    </row>
    <row r="362" ht="12.75" customHeight="1">
      <c r="D362" s="1"/>
      <c r="J362" s="1"/>
      <c r="P362" s="1"/>
      <c r="V362" s="1"/>
      <c r="AB362" s="1"/>
      <c r="AH362" s="1"/>
      <c r="AN362" s="1"/>
      <c r="AT362" s="1"/>
      <c r="AZ362" s="4"/>
    </row>
    <row r="363" ht="12.75" customHeight="1">
      <c r="D363" s="1"/>
      <c r="J363" s="1"/>
      <c r="P363" s="1"/>
      <c r="V363" s="1"/>
      <c r="AB363" s="1"/>
      <c r="AH363" s="1"/>
      <c r="AN363" s="1"/>
      <c r="AT363" s="1"/>
      <c r="AZ363" s="4"/>
    </row>
    <row r="364" ht="12.75" customHeight="1">
      <c r="D364" s="1"/>
      <c r="J364" s="1"/>
      <c r="P364" s="1"/>
      <c r="V364" s="1"/>
      <c r="AB364" s="1"/>
      <c r="AH364" s="1"/>
      <c r="AN364" s="1"/>
      <c r="AT364" s="1"/>
      <c r="AZ364" s="4"/>
    </row>
    <row r="365" ht="12.75" customHeight="1">
      <c r="D365" s="1"/>
      <c r="J365" s="1"/>
      <c r="P365" s="1"/>
      <c r="V365" s="1"/>
      <c r="AB365" s="1"/>
      <c r="AH365" s="1"/>
      <c r="AN365" s="1"/>
      <c r="AT365" s="1"/>
      <c r="AZ365" s="4"/>
    </row>
    <row r="366" ht="12.75" customHeight="1">
      <c r="D366" s="1"/>
      <c r="J366" s="1"/>
      <c r="P366" s="1"/>
      <c r="V366" s="1"/>
      <c r="AB366" s="1"/>
      <c r="AH366" s="1"/>
      <c r="AN366" s="1"/>
      <c r="AT366" s="1"/>
      <c r="AZ366" s="4"/>
    </row>
    <row r="367" ht="12.75" customHeight="1">
      <c r="D367" s="1"/>
      <c r="J367" s="1"/>
      <c r="P367" s="1"/>
      <c r="V367" s="1"/>
      <c r="AB367" s="1"/>
      <c r="AH367" s="1"/>
      <c r="AN367" s="1"/>
      <c r="AT367" s="1"/>
      <c r="AZ367" s="4"/>
    </row>
    <row r="368" ht="12.75" customHeight="1">
      <c r="D368" s="1"/>
      <c r="J368" s="1"/>
      <c r="P368" s="1"/>
      <c r="V368" s="1"/>
      <c r="AB368" s="1"/>
      <c r="AH368" s="1"/>
      <c r="AN368" s="1"/>
      <c r="AT368" s="1"/>
      <c r="AZ368" s="4"/>
    </row>
    <row r="369" ht="12.75" customHeight="1">
      <c r="D369" s="1"/>
      <c r="J369" s="1"/>
      <c r="P369" s="1"/>
      <c r="V369" s="1"/>
      <c r="AB369" s="1"/>
      <c r="AH369" s="1"/>
      <c r="AN369" s="1"/>
      <c r="AT369" s="1"/>
      <c r="AZ369" s="4"/>
    </row>
    <row r="370" ht="12.75" customHeight="1">
      <c r="D370" s="1"/>
      <c r="J370" s="1"/>
      <c r="P370" s="1"/>
      <c r="V370" s="1"/>
      <c r="AB370" s="1"/>
      <c r="AH370" s="1"/>
      <c r="AN370" s="1"/>
      <c r="AT370" s="1"/>
      <c r="AZ370" s="4"/>
    </row>
    <row r="371" ht="12.75" customHeight="1">
      <c r="D371" s="1"/>
      <c r="J371" s="1"/>
      <c r="P371" s="1"/>
      <c r="V371" s="1"/>
      <c r="AB371" s="1"/>
      <c r="AH371" s="1"/>
      <c r="AN371" s="1"/>
      <c r="AT371" s="1"/>
      <c r="AZ371" s="4"/>
    </row>
    <row r="372" ht="12.75" customHeight="1">
      <c r="D372" s="1"/>
      <c r="J372" s="1"/>
      <c r="P372" s="1"/>
      <c r="V372" s="1"/>
      <c r="AB372" s="1"/>
      <c r="AH372" s="1"/>
      <c r="AN372" s="1"/>
      <c r="AT372" s="1"/>
      <c r="AZ372" s="4"/>
    </row>
    <row r="373" ht="12.75" customHeight="1">
      <c r="D373" s="1"/>
      <c r="J373" s="1"/>
      <c r="P373" s="1"/>
      <c r="V373" s="1"/>
      <c r="AB373" s="1"/>
      <c r="AH373" s="1"/>
      <c r="AN373" s="1"/>
      <c r="AT373" s="1"/>
      <c r="AZ373" s="4"/>
    </row>
    <row r="374" ht="12.75" customHeight="1">
      <c r="D374" s="1"/>
      <c r="J374" s="1"/>
      <c r="P374" s="1"/>
      <c r="V374" s="1"/>
      <c r="AB374" s="1"/>
      <c r="AH374" s="1"/>
      <c r="AN374" s="1"/>
      <c r="AT374" s="1"/>
      <c r="AZ374" s="4"/>
    </row>
    <row r="375" ht="12.75" customHeight="1">
      <c r="D375" s="1"/>
      <c r="J375" s="1"/>
      <c r="P375" s="1"/>
      <c r="V375" s="1"/>
      <c r="AB375" s="1"/>
      <c r="AH375" s="1"/>
      <c r="AN375" s="1"/>
      <c r="AT375" s="1"/>
      <c r="AZ375" s="4"/>
    </row>
    <row r="376" ht="12.75" customHeight="1">
      <c r="D376" s="1"/>
      <c r="J376" s="1"/>
      <c r="P376" s="1"/>
      <c r="V376" s="1"/>
      <c r="AB376" s="1"/>
      <c r="AH376" s="1"/>
      <c r="AN376" s="1"/>
      <c r="AT376" s="1"/>
      <c r="AZ376" s="4"/>
    </row>
    <row r="377" ht="12.75" customHeight="1">
      <c r="D377" s="1"/>
      <c r="J377" s="1"/>
      <c r="P377" s="1"/>
      <c r="V377" s="1"/>
      <c r="AB377" s="1"/>
      <c r="AH377" s="1"/>
      <c r="AN377" s="1"/>
      <c r="AT377" s="1"/>
      <c r="AZ377" s="4"/>
    </row>
    <row r="378" ht="12.75" customHeight="1">
      <c r="D378" s="1"/>
      <c r="J378" s="1"/>
      <c r="P378" s="1"/>
      <c r="V378" s="1"/>
      <c r="AB378" s="1"/>
      <c r="AH378" s="1"/>
      <c r="AN378" s="1"/>
      <c r="AT378" s="1"/>
      <c r="AZ378" s="4"/>
    </row>
    <row r="379" ht="12.75" customHeight="1">
      <c r="D379" s="1"/>
      <c r="J379" s="1"/>
      <c r="P379" s="1"/>
      <c r="V379" s="1"/>
      <c r="AB379" s="1"/>
      <c r="AH379" s="1"/>
      <c r="AN379" s="1"/>
      <c r="AT379" s="1"/>
      <c r="AZ379" s="4"/>
    </row>
    <row r="380" ht="12.75" customHeight="1">
      <c r="D380" s="1"/>
      <c r="J380" s="1"/>
      <c r="P380" s="1"/>
      <c r="V380" s="1"/>
      <c r="AB380" s="1"/>
      <c r="AH380" s="1"/>
      <c r="AN380" s="1"/>
      <c r="AT380" s="1"/>
      <c r="AZ380" s="4"/>
    </row>
    <row r="381" ht="12.75" customHeight="1">
      <c r="D381" s="1"/>
      <c r="J381" s="1"/>
      <c r="P381" s="1"/>
      <c r="V381" s="1"/>
      <c r="AB381" s="1"/>
      <c r="AH381" s="1"/>
      <c r="AN381" s="1"/>
      <c r="AT381" s="1"/>
      <c r="AZ381" s="4"/>
    </row>
    <row r="382" ht="12.75" customHeight="1">
      <c r="D382" s="1"/>
      <c r="J382" s="1"/>
      <c r="P382" s="1"/>
      <c r="V382" s="1"/>
      <c r="AB382" s="1"/>
      <c r="AH382" s="1"/>
      <c r="AN382" s="1"/>
      <c r="AT382" s="1"/>
      <c r="AZ382" s="4"/>
    </row>
    <row r="383" ht="12.75" customHeight="1">
      <c r="D383" s="1"/>
      <c r="J383" s="1"/>
      <c r="P383" s="1"/>
      <c r="V383" s="1"/>
      <c r="AB383" s="1"/>
      <c r="AH383" s="1"/>
      <c r="AN383" s="1"/>
      <c r="AT383" s="1"/>
      <c r="AZ383" s="4"/>
    </row>
    <row r="384" ht="12.75" customHeight="1">
      <c r="D384" s="1"/>
      <c r="J384" s="1"/>
      <c r="P384" s="1"/>
      <c r="V384" s="1"/>
      <c r="AB384" s="1"/>
      <c r="AH384" s="1"/>
      <c r="AN384" s="1"/>
      <c r="AT384" s="1"/>
      <c r="AZ384" s="4"/>
    </row>
    <row r="385" ht="12.75" customHeight="1">
      <c r="D385" s="1"/>
      <c r="J385" s="1"/>
      <c r="P385" s="1"/>
      <c r="V385" s="1"/>
      <c r="AB385" s="1"/>
      <c r="AH385" s="1"/>
      <c r="AN385" s="1"/>
      <c r="AT385" s="1"/>
      <c r="AZ385" s="4"/>
    </row>
    <row r="386" ht="12.75" customHeight="1">
      <c r="D386" s="1"/>
      <c r="J386" s="1"/>
      <c r="P386" s="1"/>
      <c r="V386" s="1"/>
      <c r="AB386" s="1"/>
      <c r="AH386" s="1"/>
      <c r="AN386" s="1"/>
      <c r="AT386" s="1"/>
      <c r="AZ386" s="4"/>
    </row>
    <row r="387" ht="12.75" customHeight="1">
      <c r="D387" s="1"/>
      <c r="J387" s="1"/>
      <c r="P387" s="1"/>
      <c r="V387" s="1"/>
      <c r="AB387" s="1"/>
      <c r="AH387" s="1"/>
      <c r="AN387" s="1"/>
      <c r="AT387" s="1"/>
      <c r="AZ387" s="4"/>
    </row>
    <row r="388" ht="12.75" customHeight="1">
      <c r="D388" s="1"/>
      <c r="J388" s="1"/>
      <c r="P388" s="1"/>
      <c r="V388" s="1"/>
      <c r="AB388" s="1"/>
      <c r="AH388" s="1"/>
      <c r="AN388" s="1"/>
      <c r="AT388" s="1"/>
      <c r="AZ388" s="4"/>
    </row>
    <row r="389" ht="12.75" customHeight="1">
      <c r="D389" s="1"/>
      <c r="J389" s="1"/>
      <c r="P389" s="1"/>
      <c r="V389" s="1"/>
      <c r="AB389" s="1"/>
      <c r="AH389" s="1"/>
      <c r="AN389" s="1"/>
      <c r="AT389" s="1"/>
      <c r="AZ389" s="4"/>
    </row>
    <row r="390" ht="12.75" customHeight="1">
      <c r="D390" s="1"/>
      <c r="J390" s="1"/>
      <c r="P390" s="1"/>
      <c r="V390" s="1"/>
      <c r="AB390" s="1"/>
      <c r="AH390" s="1"/>
      <c r="AN390" s="1"/>
      <c r="AT390" s="1"/>
      <c r="AZ390" s="4"/>
    </row>
    <row r="391" ht="12.75" customHeight="1">
      <c r="D391" s="1"/>
      <c r="J391" s="1"/>
      <c r="P391" s="1"/>
      <c r="V391" s="1"/>
      <c r="AB391" s="1"/>
      <c r="AH391" s="1"/>
      <c r="AN391" s="1"/>
      <c r="AT391" s="1"/>
      <c r="AZ391" s="4"/>
    </row>
    <row r="392" ht="12.75" customHeight="1">
      <c r="D392" s="1"/>
      <c r="J392" s="1"/>
      <c r="P392" s="1"/>
      <c r="V392" s="1"/>
      <c r="AB392" s="1"/>
      <c r="AH392" s="1"/>
      <c r="AN392" s="1"/>
      <c r="AT392" s="1"/>
      <c r="AZ392" s="4"/>
    </row>
    <row r="393" ht="12.75" customHeight="1">
      <c r="D393" s="1"/>
      <c r="J393" s="1"/>
      <c r="P393" s="1"/>
      <c r="V393" s="1"/>
      <c r="AB393" s="1"/>
      <c r="AH393" s="1"/>
      <c r="AN393" s="1"/>
      <c r="AT393" s="1"/>
      <c r="AZ393" s="4"/>
    </row>
    <row r="394" ht="12.75" customHeight="1">
      <c r="D394" s="1"/>
      <c r="J394" s="1"/>
      <c r="P394" s="1"/>
      <c r="V394" s="1"/>
      <c r="AB394" s="1"/>
      <c r="AH394" s="1"/>
      <c r="AN394" s="1"/>
      <c r="AT394" s="1"/>
      <c r="AZ394" s="4"/>
    </row>
    <row r="395" ht="12.75" customHeight="1">
      <c r="D395" s="1"/>
      <c r="J395" s="1"/>
      <c r="P395" s="1"/>
      <c r="V395" s="1"/>
      <c r="AB395" s="1"/>
      <c r="AH395" s="1"/>
      <c r="AN395" s="1"/>
      <c r="AT395" s="1"/>
      <c r="AZ395" s="4"/>
    </row>
    <row r="396" ht="12.75" customHeight="1">
      <c r="D396" s="1"/>
      <c r="J396" s="1"/>
      <c r="P396" s="1"/>
      <c r="V396" s="1"/>
      <c r="AB396" s="1"/>
      <c r="AH396" s="1"/>
      <c r="AN396" s="1"/>
      <c r="AT396" s="1"/>
      <c r="AZ396" s="4"/>
    </row>
    <row r="397" ht="12.75" customHeight="1">
      <c r="D397" s="1"/>
      <c r="J397" s="1"/>
      <c r="P397" s="1"/>
      <c r="V397" s="1"/>
      <c r="AB397" s="1"/>
      <c r="AH397" s="1"/>
      <c r="AN397" s="1"/>
      <c r="AT397" s="1"/>
      <c r="AZ397" s="4"/>
    </row>
    <row r="398" ht="12.75" customHeight="1">
      <c r="D398" s="1"/>
      <c r="J398" s="1"/>
      <c r="P398" s="1"/>
      <c r="V398" s="1"/>
      <c r="AB398" s="1"/>
      <c r="AH398" s="1"/>
      <c r="AN398" s="1"/>
      <c r="AT398" s="1"/>
      <c r="AZ398" s="4"/>
    </row>
    <row r="399" ht="12.75" customHeight="1">
      <c r="D399" s="1"/>
      <c r="J399" s="1"/>
      <c r="P399" s="1"/>
      <c r="V399" s="1"/>
      <c r="AB399" s="1"/>
      <c r="AH399" s="1"/>
      <c r="AN399" s="1"/>
      <c r="AT399" s="1"/>
      <c r="AZ399" s="4"/>
    </row>
    <row r="400" ht="12.75" customHeight="1">
      <c r="D400" s="1"/>
      <c r="J400" s="1"/>
      <c r="P400" s="1"/>
      <c r="V400" s="1"/>
      <c r="AB400" s="1"/>
      <c r="AH400" s="1"/>
      <c r="AN400" s="1"/>
      <c r="AT400" s="1"/>
      <c r="AZ400" s="4"/>
    </row>
    <row r="401" ht="12.75" customHeight="1">
      <c r="D401" s="1"/>
      <c r="J401" s="1"/>
      <c r="P401" s="1"/>
      <c r="V401" s="1"/>
      <c r="AB401" s="1"/>
      <c r="AH401" s="1"/>
      <c r="AN401" s="1"/>
      <c r="AT401" s="1"/>
      <c r="AZ401" s="4"/>
    </row>
    <row r="402" ht="12.75" customHeight="1">
      <c r="D402" s="1"/>
      <c r="J402" s="1"/>
      <c r="P402" s="1"/>
      <c r="V402" s="1"/>
      <c r="AB402" s="1"/>
      <c r="AH402" s="1"/>
      <c r="AN402" s="1"/>
      <c r="AT402" s="1"/>
      <c r="AZ402" s="4"/>
    </row>
    <row r="403" ht="12.75" customHeight="1">
      <c r="D403" s="1"/>
      <c r="J403" s="1"/>
      <c r="P403" s="1"/>
      <c r="V403" s="1"/>
      <c r="AB403" s="1"/>
      <c r="AH403" s="1"/>
      <c r="AN403" s="1"/>
      <c r="AT403" s="1"/>
      <c r="AZ403" s="4"/>
    </row>
    <row r="404" ht="12.75" customHeight="1">
      <c r="D404" s="1"/>
      <c r="J404" s="1"/>
      <c r="P404" s="1"/>
      <c r="V404" s="1"/>
      <c r="AB404" s="1"/>
      <c r="AH404" s="1"/>
      <c r="AN404" s="1"/>
      <c r="AT404" s="1"/>
      <c r="AZ404" s="4"/>
    </row>
    <row r="405" ht="12.75" customHeight="1">
      <c r="D405" s="1"/>
      <c r="J405" s="1"/>
      <c r="P405" s="1"/>
      <c r="V405" s="1"/>
      <c r="AB405" s="1"/>
      <c r="AH405" s="1"/>
      <c r="AN405" s="1"/>
      <c r="AT405" s="1"/>
      <c r="AZ405" s="4"/>
    </row>
    <row r="406" ht="12.75" customHeight="1">
      <c r="D406" s="1"/>
      <c r="J406" s="1"/>
      <c r="P406" s="1"/>
      <c r="V406" s="1"/>
      <c r="AB406" s="1"/>
      <c r="AH406" s="1"/>
      <c r="AN406" s="1"/>
      <c r="AT406" s="1"/>
      <c r="AZ406" s="4"/>
    </row>
    <row r="407" ht="12.75" customHeight="1">
      <c r="D407" s="1"/>
      <c r="J407" s="1"/>
      <c r="P407" s="1"/>
      <c r="V407" s="1"/>
      <c r="AB407" s="1"/>
      <c r="AH407" s="1"/>
      <c r="AN407" s="1"/>
      <c r="AT407" s="1"/>
      <c r="AZ407" s="4"/>
    </row>
    <row r="408" ht="12.75" customHeight="1">
      <c r="D408" s="1"/>
      <c r="J408" s="1"/>
      <c r="P408" s="1"/>
      <c r="V408" s="1"/>
      <c r="AB408" s="1"/>
      <c r="AH408" s="1"/>
      <c r="AN408" s="1"/>
      <c r="AT408" s="1"/>
      <c r="AZ408" s="4"/>
    </row>
    <row r="409" ht="12.75" customHeight="1">
      <c r="D409" s="1"/>
      <c r="J409" s="1"/>
      <c r="P409" s="1"/>
      <c r="V409" s="1"/>
      <c r="AB409" s="1"/>
      <c r="AH409" s="1"/>
      <c r="AN409" s="1"/>
      <c r="AT409" s="1"/>
      <c r="AZ409" s="4"/>
    </row>
    <row r="410" ht="12.75" customHeight="1">
      <c r="D410" s="1"/>
      <c r="J410" s="1"/>
      <c r="P410" s="1"/>
      <c r="V410" s="1"/>
      <c r="AB410" s="1"/>
      <c r="AH410" s="1"/>
      <c r="AN410" s="1"/>
      <c r="AT410" s="1"/>
      <c r="AZ410" s="4"/>
    </row>
    <row r="411" ht="12.75" customHeight="1">
      <c r="D411" s="1"/>
      <c r="J411" s="1"/>
      <c r="P411" s="1"/>
      <c r="V411" s="1"/>
      <c r="AB411" s="1"/>
      <c r="AH411" s="1"/>
      <c r="AN411" s="1"/>
      <c r="AT411" s="1"/>
      <c r="AZ411" s="4"/>
    </row>
    <row r="412" ht="12.75" customHeight="1">
      <c r="D412" s="1"/>
      <c r="J412" s="1"/>
      <c r="P412" s="1"/>
      <c r="V412" s="1"/>
      <c r="AB412" s="1"/>
      <c r="AH412" s="1"/>
      <c r="AN412" s="1"/>
      <c r="AT412" s="1"/>
      <c r="AZ412" s="4"/>
    </row>
    <row r="413" ht="12.75" customHeight="1">
      <c r="D413" s="1"/>
      <c r="J413" s="1"/>
      <c r="P413" s="1"/>
      <c r="V413" s="1"/>
      <c r="AB413" s="1"/>
      <c r="AH413" s="1"/>
      <c r="AN413" s="1"/>
      <c r="AT413" s="1"/>
      <c r="AZ413" s="4"/>
    </row>
    <row r="414" ht="12.75" customHeight="1">
      <c r="D414" s="1"/>
      <c r="J414" s="1"/>
      <c r="P414" s="1"/>
      <c r="V414" s="1"/>
      <c r="AB414" s="1"/>
      <c r="AH414" s="1"/>
      <c r="AN414" s="1"/>
      <c r="AT414" s="1"/>
      <c r="AZ414" s="4"/>
    </row>
    <row r="415" ht="12.75" customHeight="1">
      <c r="D415" s="1"/>
      <c r="J415" s="1"/>
      <c r="P415" s="1"/>
      <c r="V415" s="1"/>
      <c r="AB415" s="1"/>
      <c r="AH415" s="1"/>
      <c r="AN415" s="1"/>
      <c r="AT415" s="1"/>
      <c r="AZ415" s="4"/>
    </row>
    <row r="416" ht="12.75" customHeight="1">
      <c r="D416" s="1"/>
      <c r="J416" s="1"/>
      <c r="P416" s="1"/>
      <c r="V416" s="1"/>
      <c r="AB416" s="1"/>
      <c r="AH416" s="1"/>
      <c r="AN416" s="1"/>
      <c r="AT416" s="1"/>
      <c r="AZ416" s="4"/>
    </row>
    <row r="417" ht="12.75" customHeight="1">
      <c r="D417" s="1"/>
      <c r="J417" s="1"/>
      <c r="P417" s="1"/>
      <c r="V417" s="1"/>
      <c r="AB417" s="1"/>
      <c r="AH417" s="1"/>
      <c r="AN417" s="1"/>
      <c r="AT417" s="1"/>
      <c r="AZ417" s="4"/>
    </row>
    <row r="418" ht="12.75" customHeight="1">
      <c r="D418" s="1"/>
      <c r="J418" s="1"/>
      <c r="P418" s="1"/>
      <c r="V418" s="1"/>
      <c r="AB418" s="1"/>
      <c r="AH418" s="1"/>
      <c r="AN418" s="1"/>
      <c r="AT418" s="1"/>
      <c r="AZ418" s="4"/>
    </row>
    <row r="419" ht="12.75" customHeight="1">
      <c r="D419" s="1"/>
      <c r="J419" s="1"/>
      <c r="P419" s="1"/>
      <c r="V419" s="1"/>
      <c r="AB419" s="1"/>
      <c r="AH419" s="1"/>
      <c r="AN419" s="1"/>
      <c r="AT419" s="1"/>
      <c r="AZ419" s="4"/>
    </row>
    <row r="420" ht="12.75" customHeight="1">
      <c r="D420" s="1"/>
      <c r="J420" s="1"/>
      <c r="P420" s="1"/>
      <c r="V420" s="1"/>
      <c r="AB420" s="1"/>
      <c r="AH420" s="1"/>
      <c r="AN420" s="1"/>
      <c r="AT420" s="1"/>
      <c r="AZ420" s="4"/>
    </row>
    <row r="421" ht="12.75" customHeight="1">
      <c r="D421" s="1"/>
      <c r="J421" s="1"/>
      <c r="P421" s="1"/>
      <c r="V421" s="1"/>
      <c r="AB421" s="1"/>
      <c r="AH421" s="1"/>
      <c r="AN421" s="1"/>
      <c r="AT421" s="1"/>
      <c r="AZ421" s="4"/>
    </row>
    <row r="422" ht="12.75" customHeight="1">
      <c r="D422" s="1"/>
      <c r="J422" s="1"/>
      <c r="P422" s="1"/>
      <c r="V422" s="1"/>
      <c r="AB422" s="1"/>
      <c r="AH422" s="1"/>
      <c r="AN422" s="1"/>
      <c r="AT422" s="1"/>
      <c r="AZ422" s="4"/>
    </row>
    <row r="423" ht="12.75" customHeight="1">
      <c r="D423" s="1"/>
      <c r="J423" s="1"/>
      <c r="P423" s="1"/>
      <c r="V423" s="1"/>
      <c r="AB423" s="1"/>
      <c r="AH423" s="1"/>
      <c r="AN423" s="1"/>
      <c r="AT423" s="1"/>
      <c r="AZ423" s="4"/>
    </row>
    <row r="424" ht="12.75" customHeight="1">
      <c r="D424" s="1"/>
      <c r="J424" s="1"/>
      <c r="P424" s="1"/>
      <c r="V424" s="1"/>
      <c r="AB424" s="1"/>
      <c r="AH424" s="1"/>
      <c r="AN424" s="1"/>
      <c r="AT424" s="1"/>
      <c r="AZ424" s="4"/>
    </row>
    <row r="425" ht="12.75" customHeight="1">
      <c r="D425" s="1"/>
      <c r="J425" s="1"/>
      <c r="P425" s="1"/>
      <c r="V425" s="1"/>
      <c r="AB425" s="1"/>
      <c r="AH425" s="1"/>
      <c r="AN425" s="1"/>
      <c r="AT425" s="1"/>
      <c r="AZ425" s="4"/>
    </row>
    <row r="426" ht="12.75" customHeight="1">
      <c r="D426" s="1"/>
      <c r="J426" s="1"/>
      <c r="P426" s="1"/>
      <c r="V426" s="1"/>
      <c r="AB426" s="1"/>
      <c r="AH426" s="1"/>
      <c r="AN426" s="1"/>
      <c r="AT426" s="1"/>
      <c r="AZ426" s="4"/>
    </row>
    <row r="427" ht="12.75" customHeight="1">
      <c r="D427" s="1"/>
      <c r="J427" s="1"/>
      <c r="P427" s="1"/>
      <c r="V427" s="1"/>
      <c r="AB427" s="1"/>
      <c r="AH427" s="1"/>
      <c r="AN427" s="1"/>
      <c r="AT427" s="1"/>
      <c r="AZ427" s="4"/>
    </row>
    <row r="428" ht="12.75" customHeight="1">
      <c r="D428" s="1"/>
      <c r="J428" s="1"/>
      <c r="P428" s="1"/>
      <c r="V428" s="1"/>
      <c r="AB428" s="1"/>
      <c r="AH428" s="1"/>
      <c r="AN428" s="1"/>
      <c r="AT428" s="1"/>
      <c r="AZ428" s="4"/>
    </row>
    <row r="429" ht="12.75" customHeight="1">
      <c r="D429" s="1"/>
      <c r="J429" s="1"/>
      <c r="P429" s="1"/>
      <c r="V429" s="1"/>
      <c r="AB429" s="1"/>
      <c r="AH429" s="1"/>
      <c r="AN429" s="1"/>
      <c r="AT429" s="1"/>
      <c r="AZ429" s="4"/>
    </row>
    <row r="430" ht="12.75" customHeight="1">
      <c r="D430" s="1"/>
      <c r="J430" s="1"/>
      <c r="P430" s="1"/>
      <c r="V430" s="1"/>
      <c r="AB430" s="1"/>
      <c r="AH430" s="1"/>
      <c r="AN430" s="1"/>
      <c r="AT430" s="1"/>
      <c r="AZ430" s="4"/>
    </row>
    <row r="431" ht="12.75" customHeight="1">
      <c r="D431" s="1"/>
      <c r="J431" s="1"/>
      <c r="P431" s="1"/>
      <c r="V431" s="1"/>
      <c r="AB431" s="1"/>
      <c r="AH431" s="1"/>
      <c r="AN431" s="1"/>
      <c r="AT431" s="1"/>
      <c r="AZ431" s="4"/>
    </row>
    <row r="432" ht="12.75" customHeight="1">
      <c r="D432" s="1"/>
      <c r="J432" s="1"/>
      <c r="P432" s="1"/>
      <c r="V432" s="1"/>
      <c r="AB432" s="1"/>
      <c r="AH432" s="1"/>
      <c r="AN432" s="1"/>
      <c r="AT432" s="1"/>
      <c r="AZ432" s="4"/>
    </row>
    <row r="433" ht="12.75" customHeight="1">
      <c r="D433" s="1"/>
      <c r="J433" s="1"/>
      <c r="P433" s="1"/>
      <c r="V433" s="1"/>
      <c r="AB433" s="1"/>
      <c r="AH433" s="1"/>
      <c r="AN433" s="1"/>
      <c r="AT433" s="1"/>
      <c r="AZ433" s="4"/>
    </row>
    <row r="434" ht="12.75" customHeight="1">
      <c r="D434" s="1"/>
      <c r="J434" s="1"/>
      <c r="P434" s="1"/>
      <c r="V434" s="1"/>
      <c r="AB434" s="1"/>
      <c r="AH434" s="1"/>
      <c r="AN434" s="1"/>
      <c r="AT434" s="1"/>
      <c r="AZ434" s="4"/>
    </row>
    <row r="435" ht="12.75" customHeight="1">
      <c r="D435" s="1"/>
      <c r="J435" s="1"/>
      <c r="P435" s="1"/>
      <c r="V435" s="1"/>
      <c r="AB435" s="1"/>
      <c r="AH435" s="1"/>
      <c r="AN435" s="1"/>
      <c r="AT435" s="1"/>
      <c r="AZ435" s="4"/>
    </row>
    <row r="436" ht="12.75" customHeight="1">
      <c r="D436" s="1"/>
      <c r="J436" s="1"/>
      <c r="P436" s="1"/>
      <c r="V436" s="1"/>
      <c r="AB436" s="1"/>
      <c r="AH436" s="1"/>
      <c r="AN436" s="1"/>
      <c r="AT436" s="1"/>
      <c r="AZ436" s="4"/>
    </row>
    <row r="437" ht="12.75" customHeight="1">
      <c r="D437" s="1"/>
      <c r="J437" s="1"/>
      <c r="P437" s="1"/>
      <c r="V437" s="1"/>
      <c r="AB437" s="1"/>
      <c r="AH437" s="1"/>
      <c r="AN437" s="1"/>
      <c r="AT437" s="1"/>
      <c r="AZ437" s="4"/>
    </row>
    <row r="438" ht="12.75" customHeight="1">
      <c r="D438" s="1"/>
      <c r="J438" s="1"/>
      <c r="P438" s="1"/>
      <c r="V438" s="1"/>
      <c r="AB438" s="1"/>
      <c r="AH438" s="1"/>
      <c r="AN438" s="1"/>
      <c r="AT438" s="1"/>
      <c r="AZ438" s="4"/>
    </row>
    <row r="439" ht="12.75" customHeight="1">
      <c r="D439" s="1"/>
      <c r="J439" s="1"/>
      <c r="P439" s="1"/>
      <c r="V439" s="1"/>
      <c r="AB439" s="1"/>
      <c r="AH439" s="1"/>
      <c r="AN439" s="1"/>
      <c r="AT439" s="1"/>
      <c r="AZ439" s="4"/>
    </row>
    <row r="440" ht="12.75" customHeight="1">
      <c r="D440" s="1"/>
      <c r="J440" s="1"/>
      <c r="P440" s="1"/>
      <c r="V440" s="1"/>
      <c r="AB440" s="1"/>
      <c r="AH440" s="1"/>
      <c r="AN440" s="1"/>
      <c r="AT440" s="1"/>
      <c r="AZ440" s="4"/>
    </row>
    <row r="441" ht="12.75" customHeight="1">
      <c r="D441" s="1"/>
      <c r="J441" s="1"/>
      <c r="P441" s="1"/>
      <c r="V441" s="1"/>
      <c r="AB441" s="1"/>
      <c r="AH441" s="1"/>
      <c r="AN441" s="1"/>
      <c r="AT441" s="1"/>
      <c r="AZ441" s="4"/>
    </row>
    <row r="442" ht="12.75" customHeight="1">
      <c r="D442" s="1"/>
      <c r="J442" s="1"/>
      <c r="P442" s="1"/>
      <c r="V442" s="1"/>
      <c r="AB442" s="1"/>
      <c r="AH442" s="1"/>
      <c r="AN442" s="1"/>
      <c r="AT442" s="1"/>
      <c r="AZ442" s="4"/>
    </row>
    <row r="443" ht="12.75" customHeight="1">
      <c r="D443" s="1"/>
      <c r="J443" s="1"/>
      <c r="P443" s="1"/>
      <c r="V443" s="1"/>
      <c r="AB443" s="1"/>
      <c r="AH443" s="1"/>
      <c r="AN443" s="1"/>
      <c r="AT443" s="1"/>
      <c r="AZ443" s="4"/>
    </row>
    <row r="444" ht="12.75" customHeight="1">
      <c r="D444" s="1"/>
      <c r="J444" s="1"/>
      <c r="P444" s="1"/>
      <c r="V444" s="1"/>
      <c r="AB444" s="1"/>
      <c r="AH444" s="1"/>
      <c r="AN444" s="1"/>
      <c r="AT444" s="1"/>
      <c r="AZ444" s="4"/>
    </row>
    <row r="445" ht="12.75" customHeight="1">
      <c r="D445" s="1"/>
      <c r="J445" s="1"/>
      <c r="P445" s="1"/>
      <c r="V445" s="1"/>
      <c r="AB445" s="1"/>
      <c r="AH445" s="1"/>
      <c r="AN445" s="1"/>
      <c r="AT445" s="1"/>
      <c r="AZ445" s="4"/>
    </row>
    <row r="446" ht="12.75" customHeight="1">
      <c r="D446" s="1"/>
      <c r="J446" s="1"/>
      <c r="P446" s="1"/>
      <c r="V446" s="1"/>
      <c r="AB446" s="1"/>
      <c r="AH446" s="1"/>
      <c r="AN446" s="1"/>
      <c r="AT446" s="1"/>
      <c r="AZ446" s="4"/>
    </row>
    <row r="447" ht="12.75" customHeight="1">
      <c r="D447" s="1"/>
      <c r="J447" s="1"/>
      <c r="P447" s="1"/>
      <c r="V447" s="1"/>
      <c r="AB447" s="1"/>
      <c r="AH447" s="1"/>
      <c r="AN447" s="1"/>
      <c r="AT447" s="1"/>
      <c r="AZ447" s="4"/>
    </row>
    <row r="448" ht="12.75" customHeight="1">
      <c r="D448" s="1"/>
      <c r="J448" s="1"/>
      <c r="P448" s="1"/>
      <c r="V448" s="1"/>
      <c r="AB448" s="1"/>
      <c r="AH448" s="1"/>
      <c r="AN448" s="1"/>
      <c r="AT448" s="1"/>
      <c r="AZ448" s="4"/>
    </row>
    <row r="449" ht="12.75" customHeight="1">
      <c r="D449" s="1"/>
      <c r="J449" s="1"/>
      <c r="P449" s="1"/>
      <c r="V449" s="1"/>
      <c r="AB449" s="1"/>
      <c r="AH449" s="1"/>
      <c r="AN449" s="1"/>
      <c r="AT449" s="1"/>
      <c r="AZ449" s="4"/>
    </row>
    <row r="450" ht="12.75" customHeight="1">
      <c r="D450" s="1"/>
      <c r="J450" s="1"/>
      <c r="P450" s="1"/>
      <c r="V450" s="1"/>
      <c r="AB450" s="1"/>
      <c r="AH450" s="1"/>
      <c r="AN450" s="1"/>
      <c r="AT450" s="1"/>
      <c r="AZ450" s="4"/>
    </row>
    <row r="451" ht="12.75" customHeight="1">
      <c r="D451" s="1"/>
      <c r="J451" s="1"/>
      <c r="P451" s="1"/>
      <c r="V451" s="1"/>
      <c r="AB451" s="1"/>
      <c r="AH451" s="1"/>
      <c r="AN451" s="1"/>
      <c r="AT451" s="1"/>
      <c r="AZ451" s="4"/>
    </row>
    <row r="452" ht="12.75" customHeight="1">
      <c r="D452" s="1"/>
      <c r="J452" s="1"/>
      <c r="P452" s="1"/>
      <c r="V452" s="1"/>
      <c r="AB452" s="1"/>
      <c r="AH452" s="1"/>
      <c r="AN452" s="1"/>
      <c r="AT452" s="1"/>
      <c r="AZ452" s="4"/>
    </row>
    <row r="453" ht="12.75" customHeight="1">
      <c r="D453" s="1"/>
      <c r="J453" s="1"/>
      <c r="P453" s="1"/>
      <c r="V453" s="1"/>
      <c r="AB453" s="1"/>
      <c r="AH453" s="1"/>
      <c r="AN453" s="1"/>
      <c r="AT453" s="1"/>
      <c r="AZ453" s="4"/>
    </row>
    <row r="454" ht="12.75" customHeight="1">
      <c r="D454" s="1"/>
      <c r="J454" s="1"/>
      <c r="P454" s="1"/>
      <c r="V454" s="1"/>
      <c r="AB454" s="1"/>
      <c r="AH454" s="1"/>
      <c r="AN454" s="1"/>
      <c r="AT454" s="1"/>
      <c r="AZ454" s="4"/>
    </row>
    <row r="455" ht="12.75" customHeight="1">
      <c r="D455" s="1"/>
      <c r="J455" s="1"/>
      <c r="P455" s="1"/>
      <c r="V455" s="1"/>
      <c r="AB455" s="1"/>
      <c r="AH455" s="1"/>
      <c r="AN455" s="1"/>
      <c r="AT455" s="1"/>
      <c r="AZ455" s="4"/>
    </row>
    <row r="456" ht="12.75" customHeight="1">
      <c r="D456" s="1"/>
      <c r="J456" s="1"/>
      <c r="P456" s="1"/>
      <c r="V456" s="1"/>
      <c r="AB456" s="1"/>
      <c r="AH456" s="1"/>
      <c r="AN456" s="1"/>
      <c r="AT456" s="1"/>
      <c r="AZ456" s="4"/>
    </row>
    <row r="457" ht="12.75" customHeight="1">
      <c r="D457" s="1"/>
      <c r="J457" s="1"/>
      <c r="P457" s="1"/>
      <c r="V457" s="1"/>
      <c r="AB457" s="1"/>
      <c r="AH457" s="1"/>
      <c r="AN457" s="1"/>
      <c r="AT457" s="1"/>
      <c r="AZ457" s="4"/>
    </row>
    <row r="458" ht="12.75" customHeight="1">
      <c r="D458" s="1"/>
      <c r="J458" s="1"/>
      <c r="P458" s="1"/>
      <c r="V458" s="1"/>
      <c r="AB458" s="1"/>
      <c r="AH458" s="1"/>
      <c r="AN458" s="1"/>
      <c r="AT458" s="1"/>
      <c r="AZ458" s="4"/>
    </row>
    <row r="459" ht="12.75" customHeight="1">
      <c r="D459" s="1"/>
      <c r="J459" s="1"/>
      <c r="P459" s="1"/>
      <c r="V459" s="1"/>
      <c r="AB459" s="1"/>
      <c r="AH459" s="1"/>
      <c r="AN459" s="1"/>
      <c r="AT459" s="1"/>
      <c r="AZ459" s="4"/>
    </row>
    <row r="460" ht="12.75" customHeight="1">
      <c r="D460" s="1"/>
      <c r="J460" s="1"/>
      <c r="P460" s="1"/>
      <c r="V460" s="1"/>
      <c r="AB460" s="1"/>
      <c r="AH460" s="1"/>
      <c r="AN460" s="1"/>
      <c r="AT460" s="1"/>
      <c r="AZ460" s="4"/>
    </row>
    <row r="461" ht="12.75" customHeight="1">
      <c r="D461" s="1"/>
      <c r="J461" s="1"/>
      <c r="P461" s="1"/>
      <c r="V461" s="1"/>
      <c r="AB461" s="1"/>
      <c r="AH461" s="1"/>
      <c r="AN461" s="1"/>
      <c r="AT461" s="1"/>
      <c r="AZ461" s="4"/>
    </row>
    <row r="462" ht="12.75" customHeight="1">
      <c r="D462" s="1"/>
      <c r="J462" s="1"/>
      <c r="P462" s="1"/>
      <c r="V462" s="1"/>
      <c r="AB462" s="1"/>
      <c r="AH462" s="1"/>
      <c r="AN462" s="1"/>
      <c r="AT462" s="1"/>
      <c r="AZ462" s="4"/>
    </row>
    <row r="463" ht="12.75" customHeight="1">
      <c r="D463" s="1"/>
      <c r="J463" s="1"/>
      <c r="P463" s="1"/>
      <c r="V463" s="1"/>
      <c r="AB463" s="1"/>
      <c r="AH463" s="1"/>
      <c r="AN463" s="1"/>
      <c r="AT463" s="1"/>
      <c r="AZ463" s="4"/>
    </row>
    <row r="464" ht="12.75" customHeight="1">
      <c r="D464" s="1"/>
      <c r="J464" s="1"/>
      <c r="P464" s="1"/>
      <c r="V464" s="1"/>
      <c r="AB464" s="1"/>
      <c r="AH464" s="1"/>
      <c r="AN464" s="1"/>
      <c r="AT464" s="1"/>
      <c r="AZ464" s="4"/>
    </row>
    <row r="465" ht="12.75" customHeight="1">
      <c r="D465" s="1"/>
      <c r="J465" s="1"/>
      <c r="P465" s="1"/>
      <c r="V465" s="1"/>
      <c r="AB465" s="1"/>
      <c r="AH465" s="1"/>
      <c r="AN465" s="1"/>
      <c r="AT465" s="1"/>
      <c r="AZ465" s="4"/>
    </row>
    <row r="466" ht="12.75" customHeight="1">
      <c r="D466" s="1"/>
      <c r="J466" s="1"/>
      <c r="P466" s="1"/>
      <c r="V466" s="1"/>
      <c r="AB466" s="1"/>
      <c r="AH466" s="1"/>
      <c r="AN466" s="1"/>
      <c r="AT466" s="1"/>
      <c r="AZ466" s="4"/>
    </row>
    <row r="467" ht="12.75" customHeight="1">
      <c r="D467" s="1"/>
      <c r="J467" s="1"/>
      <c r="P467" s="1"/>
      <c r="V467" s="1"/>
      <c r="AB467" s="1"/>
      <c r="AH467" s="1"/>
      <c r="AN467" s="1"/>
      <c r="AT467" s="1"/>
      <c r="AZ467" s="4"/>
    </row>
    <row r="468" ht="12.75" customHeight="1">
      <c r="D468" s="1"/>
      <c r="J468" s="1"/>
      <c r="P468" s="1"/>
      <c r="V468" s="1"/>
      <c r="AB468" s="1"/>
      <c r="AH468" s="1"/>
      <c r="AN468" s="1"/>
      <c r="AT468" s="1"/>
      <c r="AZ468" s="4"/>
    </row>
    <row r="469" ht="12.75" customHeight="1">
      <c r="D469" s="1"/>
      <c r="J469" s="1"/>
      <c r="P469" s="1"/>
      <c r="V469" s="1"/>
      <c r="AB469" s="1"/>
      <c r="AH469" s="1"/>
      <c r="AN469" s="1"/>
      <c r="AT469" s="1"/>
      <c r="AZ469" s="4"/>
    </row>
    <row r="470" ht="12.75" customHeight="1">
      <c r="D470" s="1"/>
      <c r="J470" s="1"/>
      <c r="P470" s="1"/>
      <c r="V470" s="1"/>
      <c r="AB470" s="1"/>
      <c r="AH470" s="1"/>
      <c r="AN470" s="1"/>
      <c r="AT470" s="1"/>
      <c r="AZ470" s="4"/>
    </row>
    <row r="471" ht="12.75" customHeight="1">
      <c r="D471" s="1"/>
      <c r="J471" s="1"/>
      <c r="P471" s="1"/>
      <c r="V471" s="1"/>
      <c r="AB471" s="1"/>
      <c r="AH471" s="1"/>
      <c r="AN471" s="1"/>
      <c r="AT471" s="1"/>
      <c r="AZ471" s="4"/>
    </row>
    <row r="472" ht="12.75" customHeight="1">
      <c r="D472" s="1"/>
      <c r="J472" s="1"/>
      <c r="P472" s="1"/>
      <c r="V472" s="1"/>
      <c r="AB472" s="1"/>
      <c r="AH472" s="1"/>
      <c r="AN472" s="1"/>
      <c r="AT472" s="1"/>
      <c r="AZ472" s="4"/>
    </row>
    <row r="473" ht="12.75" customHeight="1">
      <c r="D473" s="1"/>
      <c r="J473" s="1"/>
      <c r="P473" s="1"/>
      <c r="V473" s="1"/>
      <c r="AB473" s="1"/>
      <c r="AH473" s="1"/>
      <c r="AN473" s="1"/>
      <c r="AT473" s="1"/>
      <c r="AZ473" s="4"/>
    </row>
    <row r="474" ht="12.75" customHeight="1">
      <c r="D474" s="1"/>
      <c r="J474" s="1"/>
      <c r="P474" s="1"/>
      <c r="V474" s="1"/>
      <c r="AB474" s="1"/>
      <c r="AH474" s="1"/>
      <c r="AN474" s="1"/>
      <c r="AT474" s="1"/>
      <c r="AZ474" s="4"/>
    </row>
    <row r="475" ht="12.75" customHeight="1">
      <c r="D475" s="1"/>
      <c r="J475" s="1"/>
      <c r="P475" s="1"/>
      <c r="V475" s="1"/>
      <c r="AB475" s="1"/>
      <c r="AH475" s="1"/>
      <c r="AN475" s="1"/>
      <c r="AT475" s="1"/>
      <c r="AZ475" s="4"/>
    </row>
    <row r="476" ht="12.75" customHeight="1">
      <c r="D476" s="1"/>
      <c r="J476" s="1"/>
      <c r="P476" s="1"/>
      <c r="V476" s="1"/>
      <c r="AB476" s="1"/>
      <c r="AH476" s="1"/>
      <c r="AN476" s="1"/>
      <c r="AT476" s="1"/>
      <c r="AZ476" s="4"/>
    </row>
    <row r="477" ht="12.75" customHeight="1">
      <c r="D477" s="1"/>
      <c r="J477" s="1"/>
      <c r="P477" s="1"/>
      <c r="V477" s="1"/>
      <c r="AB477" s="1"/>
      <c r="AH477" s="1"/>
      <c r="AN477" s="1"/>
      <c r="AT477" s="1"/>
      <c r="AZ477" s="4"/>
    </row>
    <row r="478" ht="12.75" customHeight="1">
      <c r="D478" s="1"/>
      <c r="J478" s="1"/>
      <c r="P478" s="1"/>
      <c r="V478" s="1"/>
      <c r="AB478" s="1"/>
      <c r="AH478" s="1"/>
      <c r="AN478" s="1"/>
      <c r="AT478" s="1"/>
      <c r="AZ478" s="4"/>
    </row>
    <row r="479" ht="12.75" customHeight="1">
      <c r="D479" s="1"/>
      <c r="J479" s="1"/>
      <c r="P479" s="1"/>
      <c r="V479" s="1"/>
      <c r="AB479" s="1"/>
      <c r="AH479" s="1"/>
      <c r="AN479" s="1"/>
      <c r="AT479" s="1"/>
      <c r="AZ479" s="4"/>
    </row>
    <row r="480" ht="12.75" customHeight="1">
      <c r="D480" s="1"/>
      <c r="J480" s="1"/>
      <c r="P480" s="1"/>
      <c r="V480" s="1"/>
      <c r="AB480" s="1"/>
      <c r="AH480" s="1"/>
      <c r="AN480" s="1"/>
      <c r="AT480" s="1"/>
      <c r="AZ480" s="4"/>
    </row>
    <row r="481" ht="12.75" customHeight="1">
      <c r="D481" s="1"/>
      <c r="J481" s="1"/>
      <c r="P481" s="1"/>
      <c r="V481" s="1"/>
      <c r="AB481" s="1"/>
      <c r="AH481" s="1"/>
      <c r="AN481" s="1"/>
      <c r="AT481" s="1"/>
      <c r="AZ481" s="4"/>
    </row>
    <row r="482" ht="12.75" customHeight="1">
      <c r="D482" s="1"/>
      <c r="J482" s="1"/>
      <c r="P482" s="1"/>
      <c r="V482" s="1"/>
      <c r="AB482" s="1"/>
      <c r="AH482" s="1"/>
      <c r="AN482" s="1"/>
      <c r="AT482" s="1"/>
      <c r="AZ482" s="4"/>
    </row>
    <row r="483" ht="12.75" customHeight="1">
      <c r="D483" s="1"/>
      <c r="J483" s="1"/>
      <c r="P483" s="1"/>
      <c r="V483" s="1"/>
      <c r="AB483" s="1"/>
      <c r="AH483" s="1"/>
      <c r="AN483" s="1"/>
      <c r="AT483" s="1"/>
      <c r="AZ483" s="4"/>
    </row>
    <row r="484" ht="12.75" customHeight="1">
      <c r="D484" s="1"/>
      <c r="J484" s="1"/>
      <c r="P484" s="1"/>
      <c r="V484" s="1"/>
      <c r="AB484" s="1"/>
      <c r="AH484" s="1"/>
      <c r="AN484" s="1"/>
      <c r="AT484" s="1"/>
      <c r="AZ484" s="4"/>
    </row>
    <row r="485" ht="12.75" customHeight="1">
      <c r="D485" s="1"/>
      <c r="J485" s="1"/>
      <c r="P485" s="1"/>
      <c r="V485" s="1"/>
      <c r="AB485" s="1"/>
      <c r="AH485" s="1"/>
      <c r="AN485" s="1"/>
      <c r="AT485" s="1"/>
      <c r="AZ485" s="4"/>
    </row>
    <row r="486" ht="12.75" customHeight="1">
      <c r="D486" s="1"/>
      <c r="J486" s="1"/>
      <c r="P486" s="1"/>
      <c r="V486" s="1"/>
      <c r="AB486" s="1"/>
      <c r="AH486" s="1"/>
      <c r="AN486" s="1"/>
      <c r="AT486" s="1"/>
      <c r="AZ486" s="4"/>
    </row>
    <row r="487" ht="12.75" customHeight="1">
      <c r="D487" s="1"/>
      <c r="J487" s="1"/>
      <c r="P487" s="1"/>
      <c r="V487" s="1"/>
      <c r="AB487" s="1"/>
      <c r="AH487" s="1"/>
      <c r="AN487" s="1"/>
      <c r="AT487" s="1"/>
      <c r="AZ487" s="4"/>
    </row>
    <row r="488" ht="12.75" customHeight="1">
      <c r="D488" s="1"/>
      <c r="J488" s="1"/>
      <c r="P488" s="1"/>
      <c r="V488" s="1"/>
      <c r="AB488" s="1"/>
      <c r="AH488" s="1"/>
      <c r="AN488" s="1"/>
      <c r="AT488" s="1"/>
      <c r="AZ488" s="4"/>
    </row>
    <row r="489" ht="12.75" customHeight="1">
      <c r="D489" s="1"/>
      <c r="J489" s="1"/>
      <c r="P489" s="1"/>
      <c r="V489" s="1"/>
      <c r="AB489" s="1"/>
      <c r="AH489" s="1"/>
      <c r="AN489" s="1"/>
      <c r="AT489" s="1"/>
      <c r="AZ489" s="4"/>
    </row>
    <row r="490" ht="12.75" customHeight="1">
      <c r="D490" s="1"/>
      <c r="J490" s="1"/>
      <c r="P490" s="1"/>
      <c r="V490" s="1"/>
      <c r="AB490" s="1"/>
      <c r="AH490" s="1"/>
      <c r="AN490" s="1"/>
      <c r="AT490" s="1"/>
      <c r="AZ490" s="4"/>
    </row>
    <row r="491" ht="12.75" customHeight="1">
      <c r="D491" s="1"/>
      <c r="J491" s="1"/>
      <c r="P491" s="1"/>
      <c r="V491" s="1"/>
      <c r="AB491" s="1"/>
      <c r="AH491" s="1"/>
      <c r="AN491" s="1"/>
      <c r="AT491" s="1"/>
      <c r="AZ491" s="4"/>
    </row>
    <row r="492" ht="12.75" customHeight="1">
      <c r="D492" s="1"/>
      <c r="J492" s="1"/>
      <c r="P492" s="1"/>
      <c r="V492" s="1"/>
      <c r="AB492" s="1"/>
      <c r="AH492" s="1"/>
      <c r="AN492" s="1"/>
      <c r="AT492" s="1"/>
      <c r="AZ492" s="4"/>
    </row>
    <row r="493" ht="12.75" customHeight="1">
      <c r="D493" s="1"/>
      <c r="J493" s="1"/>
      <c r="P493" s="1"/>
      <c r="V493" s="1"/>
      <c r="AB493" s="1"/>
      <c r="AH493" s="1"/>
      <c r="AN493" s="1"/>
      <c r="AT493" s="1"/>
      <c r="AZ493" s="4"/>
    </row>
    <row r="494" ht="12.75" customHeight="1">
      <c r="D494" s="1"/>
      <c r="J494" s="1"/>
      <c r="P494" s="1"/>
      <c r="V494" s="1"/>
      <c r="AB494" s="1"/>
      <c r="AH494" s="1"/>
      <c r="AN494" s="1"/>
      <c r="AT494" s="1"/>
      <c r="AZ494" s="4"/>
    </row>
    <row r="495" ht="12.75" customHeight="1">
      <c r="D495" s="1"/>
      <c r="J495" s="1"/>
      <c r="P495" s="1"/>
      <c r="V495" s="1"/>
      <c r="AB495" s="1"/>
      <c r="AH495" s="1"/>
      <c r="AN495" s="1"/>
      <c r="AT495" s="1"/>
      <c r="AZ495" s="4"/>
    </row>
    <row r="496" ht="12.75" customHeight="1">
      <c r="D496" s="1"/>
      <c r="J496" s="1"/>
      <c r="P496" s="1"/>
      <c r="V496" s="1"/>
      <c r="AB496" s="1"/>
      <c r="AH496" s="1"/>
      <c r="AN496" s="1"/>
      <c r="AT496" s="1"/>
      <c r="AZ496" s="4"/>
    </row>
    <row r="497" ht="12.75" customHeight="1">
      <c r="D497" s="1"/>
      <c r="J497" s="1"/>
      <c r="P497" s="1"/>
      <c r="V497" s="1"/>
      <c r="AB497" s="1"/>
      <c r="AH497" s="1"/>
      <c r="AN497" s="1"/>
      <c r="AT497" s="1"/>
      <c r="AZ497" s="4"/>
    </row>
    <row r="498" ht="12.75" customHeight="1">
      <c r="D498" s="1"/>
      <c r="J498" s="1"/>
      <c r="P498" s="1"/>
      <c r="V498" s="1"/>
      <c r="AB498" s="1"/>
      <c r="AH498" s="1"/>
      <c r="AN498" s="1"/>
      <c r="AT498" s="1"/>
      <c r="AZ498" s="4"/>
    </row>
    <row r="499" ht="12.75" customHeight="1">
      <c r="D499" s="1"/>
      <c r="J499" s="1"/>
      <c r="P499" s="1"/>
      <c r="V499" s="1"/>
      <c r="AB499" s="1"/>
      <c r="AH499" s="1"/>
      <c r="AN499" s="1"/>
      <c r="AT499" s="1"/>
      <c r="AZ499" s="4"/>
    </row>
    <row r="500" ht="12.75" customHeight="1">
      <c r="D500" s="1"/>
      <c r="J500" s="1"/>
      <c r="P500" s="1"/>
      <c r="V500" s="1"/>
      <c r="AB500" s="1"/>
      <c r="AH500" s="1"/>
      <c r="AN500" s="1"/>
      <c r="AT500" s="1"/>
      <c r="AZ500" s="4"/>
    </row>
    <row r="501" ht="12.75" customHeight="1">
      <c r="D501" s="1"/>
      <c r="J501" s="1"/>
      <c r="P501" s="1"/>
      <c r="V501" s="1"/>
      <c r="AB501" s="1"/>
      <c r="AH501" s="1"/>
      <c r="AN501" s="1"/>
      <c r="AT501" s="1"/>
      <c r="AZ501" s="4"/>
    </row>
    <row r="502" ht="12.75" customHeight="1">
      <c r="D502" s="1"/>
      <c r="J502" s="1"/>
      <c r="P502" s="1"/>
      <c r="V502" s="1"/>
      <c r="AB502" s="1"/>
      <c r="AH502" s="1"/>
      <c r="AN502" s="1"/>
      <c r="AT502" s="1"/>
      <c r="AZ502" s="4"/>
    </row>
    <row r="503" ht="12.75" customHeight="1">
      <c r="D503" s="1"/>
      <c r="J503" s="1"/>
      <c r="P503" s="1"/>
      <c r="V503" s="1"/>
      <c r="AB503" s="1"/>
      <c r="AH503" s="1"/>
      <c r="AN503" s="1"/>
      <c r="AT503" s="1"/>
      <c r="AZ503" s="4"/>
    </row>
    <row r="504" ht="12.75" customHeight="1">
      <c r="D504" s="1"/>
      <c r="J504" s="1"/>
      <c r="P504" s="1"/>
      <c r="V504" s="1"/>
      <c r="AB504" s="1"/>
      <c r="AH504" s="1"/>
      <c r="AN504" s="1"/>
      <c r="AT504" s="1"/>
      <c r="AZ504" s="4"/>
    </row>
    <row r="505" ht="12.75" customHeight="1">
      <c r="D505" s="1"/>
      <c r="J505" s="1"/>
      <c r="P505" s="1"/>
      <c r="V505" s="1"/>
      <c r="AB505" s="1"/>
      <c r="AH505" s="1"/>
      <c r="AN505" s="1"/>
      <c r="AT505" s="1"/>
      <c r="AZ505" s="4"/>
    </row>
    <row r="506" ht="12.75" customHeight="1">
      <c r="D506" s="1"/>
      <c r="J506" s="1"/>
      <c r="P506" s="1"/>
      <c r="V506" s="1"/>
      <c r="AB506" s="1"/>
      <c r="AH506" s="1"/>
      <c r="AN506" s="1"/>
      <c r="AT506" s="1"/>
      <c r="AZ506" s="4"/>
    </row>
    <row r="507" ht="12.75" customHeight="1">
      <c r="D507" s="1"/>
      <c r="J507" s="1"/>
      <c r="P507" s="1"/>
      <c r="V507" s="1"/>
      <c r="AB507" s="1"/>
      <c r="AH507" s="1"/>
      <c r="AN507" s="1"/>
      <c r="AT507" s="1"/>
      <c r="AZ507" s="4"/>
    </row>
    <row r="508" ht="12.75" customHeight="1">
      <c r="D508" s="1"/>
      <c r="J508" s="1"/>
      <c r="P508" s="1"/>
      <c r="V508" s="1"/>
      <c r="AB508" s="1"/>
      <c r="AH508" s="1"/>
      <c r="AN508" s="1"/>
      <c r="AT508" s="1"/>
      <c r="AZ508" s="4"/>
    </row>
    <row r="509" ht="12.75" customHeight="1">
      <c r="D509" s="1"/>
      <c r="J509" s="1"/>
      <c r="P509" s="1"/>
      <c r="V509" s="1"/>
      <c r="AB509" s="1"/>
      <c r="AH509" s="1"/>
      <c r="AN509" s="1"/>
      <c r="AT509" s="1"/>
      <c r="AZ509" s="4"/>
    </row>
    <row r="510" ht="12.75" customHeight="1">
      <c r="D510" s="1"/>
      <c r="J510" s="1"/>
      <c r="P510" s="1"/>
      <c r="V510" s="1"/>
      <c r="AB510" s="1"/>
      <c r="AH510" s="1"/>
      <c r="AN510" s="1"/>
      <c r="AT510" s="1"/>
      <c r="AZ510" s="4"/>
    </row>
    <row r="511" ht="12.75" customHeight="1">
      <c r="D511" s="1"/>
      <c r="J511" s="1"/>
      <c r="P511" s="1"/>
      <c r="V511" s="1"/>
      <c r="AB511" s="1"/>
      <c r="AH511" s="1"/>
      <c r="AN511" s="1"/>
      <c r="AT511" s="1"/>
      <c r="AZ511" s="4"/>
    </row>
    <row r="512" ht="12.75" customHeight="1">
      <c r="D512" s="1"/>
      <c r="J512" s="1"/>
      <c r="P512" s="1"/>
      <c r="V512" s="1"/>
      <c r="AB512" s="1"/>
      <c r="AH512" s="1"/>
      <c r="AN512" s="1"/>
      <c r="AT512" s="1"/>
      <c r="AZ512" s="4"/>
    </row>
    <row r="513" ht="12.75" customHeight="1">
      <c r="D513" s="1"/>
      <c r="J513" s="1"/>
      <c r="P513" s="1"/>
      <c r="V513" s="1"/>
      <c r="AB513" s="1"/>
      <c r="AH513" s="1"/>
      <c r="AN513" s="1"/>
      <c r="AT513" s="1"/>
      <c r="AZ513" s="4"/>
    </row>
    <row r="514" ht="12.75" customHeight="1">
      <c r="D514" s="1"/>
      <c r="J514" s="1"/>
      <c r="P514" s="1"/>
      <c r="V514" s="1"/>
      <c r="AB514" s="1"/>
      <c r="AH514" s="1"/>
      <c r="AN514" s="1"/>
      <c r="AT514" s="1"/>
      <c r="AZ514" s="4"/>
    </row>
    <row r="515" ht="12.75" customHeight="1">
      <c r="D515" s="1"/>
      <c r="J515" s="1"/>
      <c r="P515" s="1"/>
      <c r="V515" s="1"/>
      <c r="AB515" s="1"/>
      <c r="AH515" s="1"/>
      <c r="AN515" s="1"/>
      <c r="AT515" s="1"/>
      <c r="AZ515" s="4"/>
    </row>
    <row r="516" ht="12.75" customHeight="1">
      <c r="D516" s="1"/>
      <c r="J516" s="1"/>
      <c r="P516" s="1"/>
      <c r="V516" s="1"/>
      <c r="AB516" s="1"/>
      <c r="AH516" s="1"/>
      <c r="AN516" s="1"/>
      <c r="AT516" s="1"/>
      <c r="AZ516" s="4"/>
    </row>
    <row r="517" ht="12.75" customHeight="1">
      <c r="D517" s="1"/>
      <c r="J517" s="1"/>
      <c r="P517" s="1"/>
      <c r="V517" s="1"/>
      <c r="AB517" s="1"/>
      <c r="AH517" s="1"/>
      <c r="AN517" s="1"/>
      <c r="AT517" s="1"/>
      <c r="AZ517" s="4"/>
    </row>
    <row r="518" ht="12.75" customHeight="1">
      <c r="D518" s="1"/>
      <c r="J518" s="1"/>
      <c r="P518" s="1"/>
      <c r="V518" s="1"/>
      <c r="AB518" s="1"/>
      <c r="AH518" s="1"/>
      <c r="AN518" s="1"/>
      <c r="AT518" s="1"/>
      <c r="AZ518" s="4"/>
    </row>
    <row r="519" ht="12.75" customHeight="1">
      <c r="D519" s="1"/>
      <c r="J519" s="1"/>
      <c r="P519" s="1"/>
      <c r="V519" s="1"/>
      <c r="AB519" s="1"/>
      <c r="AH519" s="1"/>
      <c r="AN519" s="1"/>
      <c r="AT519" s="1"/>
      <c r="AZ519" s="4"/>
    </row>
    <row r="520" ht="12.75" customHeight="1">
      <c r="D520" s="1"/>
      <c r="J520" s="1"/>
      <c r="P520" s="1"/>
      <c r="V520" s="1"/>
      <c r="AB520" s="1"/>
      <c r="AH520" s="1"/>
      <c r="AN520" s="1"/>
      <c r="AT520" s="1"/>
      <c r="AZ520" s="4"/>
    </row>
    <row r="521" ht="12.75" customHeight="1">
      <c r="D521" s="1"/>
      <c r="J521" s="1"/>
      <c r="P521" s="1"/>
      <c r="V521" s="1"/>
      <c r="AB521" s="1"/>
      <c r="AH521" s="1"/>
      <c r="AN521" s="1"/>
      <c r="AT521" s="1"/>
      <c r="AZ521" s="4"/>
    </row>
    <row r="522" ht="12.75" customHeight="1">
      <c r="D522" s="1"/>
      <c r="J522" s="1"/>
      <c r="P522" s="1"/>
      <c r="V522" s="1"/>
      <c r="AB522" s="1"/>
      <c r="AH522" s="1"/>
      <c r="AN522" s="1"/>
      <c r="AT522" s="1"/>
      <c r="AZ522" s="4"/>
    </row>
    <row r="523" ht="12.75" customHeight="1">
      <c r="D523" s="1"/>
      <c r="J523" s="1"/>
      <c r="P523" s="1"/>
      <c r="V523" s="1"/>
      <c r="AB523" s="1"/>
      <c r="AH523" s="1"/>
      <c r="AN523" s="1"/>
      <c r="AT523" s="1"/>
      <c r="AZ523" s="4"/>
    </row>
    <row r="524" ht="12.75" customHeight="1">
      <c r="D524" s="1"/>
      <c r="J524" s="1"/>
      <c r="P524" s="1"/>
      <c r="V524" s="1"/>
      <c r="AB524" s="1"/>
      <c r="AH524" s="1"/>
      <c r="AN524" s="1"/>
      <c r="AT524" s="1"/>
      <c r="AZ524" s="4"/>
    </row>
    <row r="525" ht="12.75" customHeight="1">
      <c r="D525" s="1"/>
      <c r="J525" s="1"/>
      <c r="P525" s="1"/>
      <c r="V525" s="1"/>
      <c r="AB525" s="1"/>
      <c r="AH525" s="1"/>
      <c r="AN525" s="1"/>
      <c r="AT525" s="1"/>
      <c r="AZ525" s="4"/>
    </row>
    <row r="526" ht="12.75" customHeight="1">
      <c r="D526" s="1"/>
      <c r="J526" s="1"/>
      <c r="P526" s="1"/>
      <c r="V526" s="1"/>
      <c r="AB526" s="1"/>
      <c r="AH526" s="1"/>
      <c r="AN526" s="1"/>
      <c r="AT526" s="1"/>
      <c r="AZ526" s="4"/>
    </row>
    <row r="527" ht="12.75" customHeight="1">
      <c r="D527" s="1"/>
      <c r="J527" s="1"/>
      <c r="P527" s="1"/>
      <c r="V527" s="1"/>
      <c r="AB527" s="1"/>
      <c r="AH527" s="1"/>
      <c r="AN527" s="1"/>
      <c r="AT527" s="1"/>
      <c r="AZ527" s="4"/>
    </row>
    <row r="528" ht="12.75" customHeight="1">
      <c r="D528" s="1"/>
      <c r="J528" s="1"/>
      <c r="P528" s="1"/>
      <c r="V528" s="1"/>
      <c r="AB528" s="1"/>
      <c r="AH528" s="1"/>
      <c r="AN528" s="1"/>
      <c r="AT528" s="1"/>
      <c r="AZ528" s="4"/>
    </row>
    <row r="529" ht="12.75" customHeight="1">
      <c r="D529" s="1"/>
      <c r="J529" s="1"/>
      <c r="P529" s="1"/>
      <c r="V529" s="1"/>
      <c r="AB529" s="1"/>
      <c r="AH529" s="1"/>
      <c r="AN529" s="1"/>
      <c r="AT529" s="1"/>
      <c r="AZ529" s="4"/>
    </row>
    <row r="530" ht="12.75" customHeight="1">
      <c r="D530" s="1"/>
      <c r="J530" s="1"/>
      <c r="P530" s="1"/>
      <c r="V530" s="1"/>
      <c r="AB530" s="1"/>
      <c r="AH530" s="1"/>
      <c r="AN530" s="1"/>
      <c r="AT530" s="1"/>
      <c r="AZ530" s="4"/>
    </row>
    <row r="531" ht="12.75" customHeight="1">
      <c r="D531" s="1"/>
      <c r="J531" s="1"/>
      <c r="P531" s="1"/>
      <c r="V531" s="1"/>
      <c r="AB531" s="1"/>
      <c r="AH531" s="1"/>
      <c r="AN531" s="1"/>
      <c r="AT531" s="1"/>
      <c r="AZ531" s="4"/>
    </row>
    <row r="532" ht="12.75" customHeight="1">
      <c r="D532" s="1"/>
      <c r="J532" s="1"/>
      <c r="P532" s="1"/>
      <c r="V532" s="1"/>
      <c r="AB532" s="1"/>
      <c r="AH532" s="1"/>
      <c r="AN532" s="1"/>
      <c r="AT532" s="1"/>
      <c r="AZ532" s="4"/>
    </row>
    <row r="533" ht="12.75" customHeight="1">
      <c r="D533" s="1"/>
      <c r="J533" s="1"/>
      <c r="P533" s="1"/>
      <c r="V533" s="1"/>
      <c r="AB533" s="1"/>
      <c r="AH533" s="1"/>
      <c r="AN533" s="1"/>
      <c r="AT533" s="1"/>
      <c r="AZ533" s="4"/>
    </row>
    <row r="534" ht="12.75" customHeight="1">
      <c r="D534" s="1"/>
      <c r="J534" s="1"/>
      <c r="P534" s="1"/>
      <c r="V534" s="1"/>
      <c r="AB534" s="1"/>
      <c r="AH534" s="1"/>
      <c r="AN534" s="1"/>
      <c r="AT534" s="1"/>
      <c r="AZ534" s="4"/>
    </row>
    <row r="535" ht="12.75" customHeight="1">
      <c r="D535" s="1"/>
      <c r="J535" s="1"/>
      <c r="P535" s="1"/>
      <c r="V535" s="1"/>
      <c r="AB535" s="1"/>
      <c r="AH535" s="1"/>
      <c r="AN535" s="1"/>
      <c r="AT535" s="1"/>
      <c r="AZ535" s="4"/>
    </row>
    <row r="536" ht="12.75" customHeight="1">
      <c r="D536" s="1"/>
      <c r="J536" s="1"/>
      <c r="P536" s="1"/>
      <c r="V536" s="1"/>
      <c r="AB536" s="1"/>
      <c r="AH536" s="1"/>
      <c r="AN536" s="1"/>
      <c r="AT536" s="1"/>
      <c r="AZ536" s="4"/>
    </row>
    <row r="537" ht="12.75" customHeight="1">
      <c r="D537" s="1"/>
      <c r="J537" s="1"/>
      <c r="P537" s="1"/>
      <c r="V537" s="1"/>
      <c r="AB537" s="1"/>
      <c r="AH537" s="1"/>
      <c r="AN537" s="1"/>
      <c r="AT537" s="1"/>
      <c r="AZ537" s="4"/>
    </row>
    <row r="538" ht="12.75" customHeight="1">
      <c r="D538" s="1"/>
      <c r="J538" s="1"/>
      <c r="P538" s="1"/>
      <c r="V538" s="1"/>
      <c r="AB538" s="1"/>
      <c r="AH538" s="1"/>
      <c r="AN538" s="1"/>
      <c r="AT538" s="1"/>
      <c r="AZ538" s="4"/>
    </row>
    <row r="539" ht="12.75" customHeight="1">
      <c r="D539" s="1"/>
      <c r="J539" s="1"/>
      <c r="P539" s="1"/>
      <c r="V539" s="1"/>
      <c r="AB539" s="1"/>
      <c r="AH539" s="1"/>
      <c r="AN539" s="1"/>
      <c r="AT539" s="1"/>
      <c r="AZ539" s="4"/>
    </row>
    <row r="540" ht="12.75" customHeight="1">
      <c r="D540" s="1"/>
      <c r="J540" s="1"/>
      <c r="P540" s="1"/>
      <c r="V540" s="1"/>
      <c r="AB540" s="1"/>
      <c r="AH540" s="1"/>
      <c r="AN540" s="1"/>
      <c r="AT540" s="1"/>
      <c r="AZ540" s="4"/>
    </row>
    <row r="541" ht="12.75" customHeight="1">
      <c r="D541" s="1"/>
      <c r="J541" s="1"/>
      <c r="P541" s="1"/>
      <c r="V541" s="1"/>
      <c r="AB541" s="1"/>
      <c r="AH541" s="1"/>
      <c r="AN541" s="1"/>
      <c r="AT541" s="1"/>
      <c r="AZ541" s="4"/>
    </row>
    <row r="542" ht="12.75" customHeight="1">
      <c r="D542" s="1"/>
      <c r="J542" s="1"/>
      <c r="P542" s="1"/>
      <c r="V542" s="1"/>
      <c r="AB542" s="1"/>
      <c r="AH542" s="1"/>
      <c r="AN542" s="1"/>
      <c r="AT542" s="1"/>
      <c r="AZ542" s="4"/>
    </row>
    <row r="543" ht="12.75" customHeight="1">
      <c r="D543" s="1"/>
      <c r="J543" s="1"/>
      <c r="P543" s="1"/>
      <c r="V543" s="1"/>
      <c r="AB543" s="1"/>
      <c r="AH543" s="1"/>
      <c r="AN543" s="1"/>
      <c r="AT543" s="1"/>
      <c r="AZ543" s="4"/>
    </row>
    <row r="544" ht="12.75" customHeight="1">
      <c r="D544" s="1"/>
      <c r="J544" s="1"/>
      <c r="P544" s="1"/>
      <c r="V544" s="1"/>
      <c r="AB544" s="1"/>
      <c r="AH544" s="1"/>
      <c r="AN544" s="1"/>
      <c r="AT544" s="1"/>
      <c r="AZ544" s="4"/>
    </row>
    <row r="545" ht="12.75" customHeight="1">
      <c r="D545" s="1"/>
      <c r="J545" s="1"/>
      <c r="P545" s="1"/>
      <c r="V545" s="1"/>
      <c r="AB545" s="1"/>
      <c r="AH545" s="1"/>
      <c r="AN545" s="1"/>
      <c r="AT545" s="1"/>
      <c r="AZ545" s="4"/>
    </row>
    <row r="546" ht="12.75" customHeight="1">
      <c r="D546" s="1"/>
      <c r="J546" s="1"/>
      <c r="P546" s="1"/>
      <c r="V546" s="1"/>
      <c r="AB546" s="1"/>
      <c r="AH546" s="1"/>
      <c r="AN546" s="1"/>
      <c r="AT546" s="1"/>
      <c r="AZ546" s="4"/>
    </row>
    <row r="547" ht="12.75" customHeight="1">
      <c r="D547" s="1"/>
      <c r="J547" s="1"/>
      <c r="P547" s="1"/>
      <c r="V547" s="1"/>
      <c r="AB547" s="1"/>
      <c r="AH547" s="1"/>
      <c r="AN547" s="1"/>
      <c r="AT547" s="1"/>
      <c r="AZ547" s="4"/>
    </row>
    <row r="548" ht="12.75" customHeight="1">
      <c r="D548" s="1"/>
      <c r="J548" s="1"/>
      <c r="P548" s="1"/>
      <c r="V548" s="1"/>
      <c r="AB548" s="1"/>
      <c r="AH548" s="1"/>
      <c r="AN548" s="1"/>
      <c r="AT548" s="1"/>
      <c r="AZ548" s="4"/>
    </row>
    <row r="549" ht="12.75" customHeight="1">
      <c r="D549" s="1"/>
      <c r="J549" s="1"/>
      <c r="P549" s="1"/>
      <c r="V549" s="1"/>
      <c r="AB549" s="1"/>
      <c r="AH549" s="1"/>
      <c r="AN549" s="1"/>
      <c r="AT549" s="1"/>
      <c r="AZ549" s="4"/>
    </row>
    <row r="550" ht="12.75" customHeight="1">
      <c r="D550" s="1"/>
      <c r="J550" s="1"/>
      <c r="P550" s="1"/>
      <c r="V550" s="1"/>
      <c r="AB550" s="1"/>
      <c r="AH550" s="1"/>
      <c r="AN550" s="1"/>
      <c r="AT550" s="1"/>
      <c r="AZ550" s="4"/>
    </row>
    <row r="551" ht="12.75" customHeight="1">
      <c r="D551" s="1"/>
      <c r="J551" s="1"/>
      <c r="P551" s="1"/>
      <c r="V551" s="1"/>
      <c r="AB551" s="1"/>
      <c r="AH551" s="1"/>
      <c r="AN551" s="1"/>
      <c r="AT551" s="1"/>
      <c r="AZ551" s="4"/>
    </row>
    <row r="552" ht="12.75" customHeight="1">
      <c r="D552" s="1"/>
      <c r="J552" s="1"/>
      <c r="P552" s="1"/>
      <c r="V552" s="1"/>
      <c r="AB552" s="1"/>
      <c r="AH552" s="1"/>
      <c r="AN552" s="1"/>
      <c r="AT552" s="1"/>
      <c r="AZ552" s="4"/>
    </row>
    <row r="553" ht="12.75" customHeight="1">
      <c r="D553" s="1"/>
      <c r="J553" s="1"/>
      <c r="P553" s="1"/>
      <c r="V553" s="1"/>
      <c r="AB553" s="1"/>
      <c r="AH553" s="1"/>
      <c r="AN553" s="1"/>
      <c r="AT553" s="1"/>
      <c r="AZ553" s="4"/>
    </row>
    <row r="554" ht="12.75" customHeight="1">
      <c r="D554" s="1"/>
      <c r="J554" s="1"/>
      <c r="P554" s="1"/>
      <c r="V554" s="1"/>
      <c r="AB554" s="1"/>
      <c r="AH554" s="1"/>
      <c r="AN554" s="1"/>
      <c r="AT554" s="1"/>
      <c r="AZ554" s="4"/>
    </row>
    <row r="555" ht="12.75" customHeight="1">
      <c r="D555" s="1"/>
      <c r="J555" s="1"/>
      <c r="P555" s="1"/>
      <c r="V555" s="1"/>
      <c r="AB555" s="1"/>
      <c r="AH555" s="1"/>
      <c r="AN555" s="1"/>
      <c r="AT555" s="1"/>
      <c r="AZ555" s="4"/>
    </row>
    <row r="556" ht="12.75" customHeight="1">
      <c r="D556" s="1"/>
      <c r="J556" s="1"/>
      <c r="P556" s="1"/>
      <c r="V556" s="1"/>
      <c r="AB556" s="1"/>
      <c r="AH556" s="1"/>
      <c r="AN556" s="1"/>
      <c r="AT556" s="1"/>
      <c r="AZ556" s="4"/>
    </row>
    <row r="557" ht="12.75" customHeight="1">
      <c r="D557" s="1"/>
      <c r="J557" s="1"/>
      <c r="P557" s="1"/>
      <c r="V557" s="1"/>
      <c r="AB557" s="1"/>
      <c r="AH557" s="1"/>
      <c r="AN557" s="1"/>
      <c r="AT557" s="1"/>
      <c r="AZ557" s="4"/>
    </row>
    <row r="558" ht="12.75" customHeight="1">
      <c r="D558" s="1"/>
      <c r="J558" s="1"/>
      <c r="P558" s="1"/>
      <c r="V558" s="1"/>
      <c r="AB558" s="1"/>
      <c r="AH558" s="1"/>
      <c r="AN558" s="1"/>
      <c r="AT558" s="1"/>
      <c r="AZ558" s="4"/>
    </row>
    <row r="559" ht="12.75" customHeight="1">
      <c r="D559" s="1"/>
      <c r="J559" s="1"/>
      <c r="P559" s="1"/>
      <c r="V559" s="1"/>
      <c r="AB559" s="1"/>
      <c r="AH559" s="1"/>
      <c r="AN559" s="1"/>
      <c r="AT559" s="1"/>
      <c r="AZ559" s="4"/>
    </row>
    <row r="560" ht="12.75" customHeight="1">
      <c r="D560" s="1"/>
      <c r="J560" s="1"/>
      <c r="P560" s="1"/>
      <c r="V560" s="1"/>
      <c r="AB560" s="1"/>
      <c r="AH560" s="1"/>
      <c r="AN560" s="1"/>
      <c r="AT560" s="1"/>
      <c r="AZ560" s="4"/>
    </row>
    <row r="561" ht="12.75" customHeight="1">
      <c r="D561" s="1"/>
      <c r="J561" s="1"/>
      <c r="P561" s="1"/>
      <c r="V561" s="1"/>
      <c r="AB561" s="1"/>
      <c r="AH561" s="1"/>
      <c r="AN561" s="1"/>
      <c r="AT561" s="1"/>
      <c r="AZ561" s="4"/>
    </row>
    <row r="562" ht="12.75" customHeight="1">
      <c r="D562" s="1"/>
      <c r="J562" s="1"/>
      <c r="P562" s="1"/>
      <c r="V562" s="1"/>
      <c r="AB562" s="1"/>
      <c r="AH562" s="1"/>
      <c r="AN562" s="1"/>
      <c r="AT562" s="1"/>
      <c r="AZ562" s="4"/>
    </row>
    <row r="563" ht="12.75" customHeight="1">
      <c r="D563" s="1"/>
      <c r="J563" s="1"/>
      <c r="P563" s="1"/>
      <c r="V563" s="1"/>
      <c r="AB563" s="1"/>
      <c r="AH563" s="1"/>
      <c r="AN563" s="1"/>
      <c r="AT563" s="1"/>
      <c r="AZ563" s="4"/>
    </row>
    <row r="564" ht="12.75" customHeight="1">
      <c r="D564" s="1"/>
      <c r="J564" s="1"/>
      <c r="P564" s="1"/>
      <c r="V564" s="1"/>
      <c r="AB564" s="1"/>
      <c r="AH564" s="1"/>
      <c r="AN564" s="1"/>
      <c r="AT564" s="1"/>
      <c r="AZ564" s="4"/>
    </row>
    <row r="565" ht="12.75" customHeight="1">
      <c r="D565" s="1"/>
      <c r="J565" s="1"/>
      <c r="P565" s="1"/>
      <c r="V565" s="1"/>
      <c r="AB565" s="1"/>
      <c r="AH565" s="1"/>
      <c r="AN565" s="1"/>
      <c r="AT565" s="1"/>
      <c r="AZ565" s="4"/>
    </row>
    <row r="566" ht="12.75" customHeight="1">
      <c r="D566" s="1"/>
      <c r="J566" s="1"/>
      <c r="P566" s="1"/>
      <c r="V566" s="1"/>
      <c r="AB566" s="1"/>
      <c r="AH566" s="1"/>
      <c r="AN566" s="1"/>
      <c r="AT566" s="1"/>
      <c r="AZ566" s="4"/>
    </row>
    <row r="567" ht="12.75" customHeight="1">
      <c r="D567" s="1"/>
      <c r="J567" s="1"/>
      <c r="P567" s="1"/>
      <c r="V567" s="1"/>
      <c r="AB567" s="1"/>
      <c r="AH567" s="1"/>
      <c r="AN567" s="1"/>
      <c r="AT567" s="1"/>
      <c r="AZ567" s="4"/>
    </row>
    <row r="568" ht="12.75" customHeight="1">
      <c r="D568" s="1"/>
      <c r="J568" s="1"/>
      <c r="P568" s="1"/>
      <c r="V568" s="1"/>
      <c r="AB568" s="1"/>
      <c r="AH568" s="1"/>
      <c r="AN568" s="1"/>
      <c r="AT568" s="1"/>
      <c r="AZ568" s="4"/>
    </row>
    <row r="569" ht="12.75" customHeight="1">
      <c r="D569" s="1"/>
      <c r="J569" s="1"/>
      <c r="P569" s="1"/>
      <c r="V569" s="1"/>
      <c r="AB569" s="1"/>
      <c r="AH569" s="1"/>
      <c r="AN569" s="1"/>
      <c r="AT569" s="1"/>
      <c r="AZ569" s="4"/>
    </row>
    <row r="570" ht="12.75" customHeight="1">
      <c r="D570" s="1"/>
      <c r="J570" s="1"/>
      <c r="P570" s="1"/>
      <c r="V570" s="1"/>
      <c r="AB570" s="1"/>
      <c r="AH570" s="1"/>
      <c r="AN570" s="1"/>
      <c r="AT570" s="1"/>
      <c r="AZ570" s="4"/>
    </row>
    <row r="571" ht="12.75" customHeight="1">
      <c r="D571" s="1"/>
      <c r="J571" s="1"/>
      <c r="P571" s="1"/>
      <c r="V571" s="1"/>
      <c r="AB571" s="1"/>
      <c r="AH571" s="1"/>
      <c r="AN571" s="1"/>
      <c r="AT571" s="1"/>
      <c r="AZ571" s="4"/>
    </row>
    <row r="572" ht="12.75" customHeight="1">
      <c r="D572" s="1"/>
      <c r="J572" s="1"/>
      <c r="P572" s="1"/>
      <c r="V572" s="1"/>
      <c r="AB572" s="1"/>
      <c r="AH572" s="1"/>
      <c r="AN572" s="1"/>
      <c r="AT572" s="1"/>
      <c r="AZ572" s="4"/>
    </row>
    <row r="573" ht="12.75" customHeight="1">
      <c r="D573" s="1"/>
      <c r="J573" s="1"/>
      <c r="P573" s="1"/>
      <c r="V573" s="1"/>
      <c r="AB573" s="1"/>
      <c r="AH573" s="1"/>
      <c r="AN573" s="1"/>
      <c r="AT573" s="1"/>
      <c r="AZ573" s="4"/>
    </row>
    <row r="574" ht="12.75" customHeight="1">
      <c r="D574" s="1"/>
      <c r="J574" s="1"/>
      <c r="P574" s="1"/>
      <c r="V574" s="1"/>
      <c r="AB574" s="1"/>
      <c r="AH574" s="1"/>
      <c r="AN574" s="1"/>
      <c r="AT574" s="1"/>
      <c r="AZ574" s="4"/>
    </row>
    <row r="575" ht="12.75" customHeight="1">
      <c r="D575" s="1"/>
      <c r="J575" s="1"/>
      <c r="P575" s="1"/>
      <c r="V575" s="1"/>
      <c r="AB575" s="1"/>
      <c r="AH575" s="1"/>
      <c r="AN575" s="1"/>
      <c r="AT575" s="1"/>
      <c r="AZ575" s="4"/>
    </row>
    <row r="576" ht="12.75" customHeight="1">
      <c r="D576" s="1"/>
      <c r="J576" s="1"/>
      <c r="P576" s="1"/>
      <c r="V576" s="1"/>
      <c r="AB576" s="1"/>
      <c r="AH576" s="1"/>
      <c r="AN576" s="1"/>
      <c r="AT576" s="1"/>
      <c r="AZ576" s="4"/>
    </row>
    <row r="577" ht="12.75" customHeight="1">
      <c r="D577" s="1"/>
      <c r="J577" s="1"/>
      <c r="P577" s="1"/>
      <c r="V577" s="1"/>
      <c r="AB577" s="1"/>
      <c r="AH577" s="1"/>
      <c r="AN577" s="1"/>
      <c r="AT577" s="1"/>
      <c r="AZ577" s="4"/>
    </row>
    <row r="578" ht="12.75" customHeight="1">
      <c r="D578" s="1"/>
      <c r="J578" s="1"/>
      <c r="P578" s="1"/>
      <c r="V578" s="1"/>
      <c r="AB578" s="1"/>
      <c r="AH578" s="1"/>
      <c r="AN578" s="1"/>
      <c r="AT578" s="1"/>
      <c r="AZ578" s="4"/>
    </row>
    <row r="579" ht="12.75" customHeight="1">
      <c r="D579" s="1"/>
      <c r="J579" s="1"/>
      <c r="P579" s="1"/>
      <c r="V579" s="1"/>
      <c r="AB579" s="1"/>
      <c r="AH579" s="1"/>
      <c r="AN579" s="1"/>
      <c r="AT579" s="1"/>
      <c r="AZ579" s="4"/>
    </row>
    <row r="580" ht="12.75" customHeight="1">
      <c r="D580" s="1"/>
      <c r="J580" s="1"/>
      <c r="P580" s="1"/>
      <c r="V580" s="1"/>
      <c r="AB580" s="1"/>
      <c r="AH580" s="1"/>
      <c r="AN580" s="1"/>
      <c r="AT580" s="1"/>
      <c r="AZ580" s="4"/>
    </row>
    <row r="581" ht="12.75" customHeight="1">
      <c r="D581" s="1"/>
      <c r="J581" s="1"/>
      <c r="P581" s="1"/>
      <c r="V581" s="1"/>
      <c r="AB581" s="1"/>
      <c r="AH581" s="1"/>
      <c r="AN581" s="1"/>
      <c r="AT581" s="1"/>
      <c r="AZ581" s="4"/>
    </row>
    <row r="582" ht="12.75" customHeight="1">
      <c r="D582" s="1"/>
      <c r="J582" s="1"/>
      <c r="P582" s="1"/>
      <c r="V582" s="1"/>
      <c r="AB582" s="1"/>
      <c r="AH582" s="1"/>
      <c r="AN582" s="1"/>
      <c r="AT582" s="1"/>
      <c r="AZ582" s="4"/>
    </row>
    <row r="583" ht="12.75" customHeight="1">
      <c r="D583" s="1"/>
      <c r="J583" s="1"/>
      <c r="P583" s="1"/>
      <c r="V583" s="1"/>
      <c r="AB583" s="1"/>
      <c r="AH583" s="1"/>
      <c r="AN583" s="1"/>
      <c r="AT583" s="1"/>
      <c r="AZ583" s="4"/>
    </row>
    <row r="584" ht="12.75" customHeight="1">
      <c r="D584" s="1"/>
      <c r="J584" s="1"/>
      <c r="P584" s="1"/>
      <c r="V584" s="1"/>
      <c r="AB584" s="1"/>
      <c r="AH584" s="1"/>
      <c r="AN584" s="1"/>
      <c r="AT584" s="1"/>
      <c r="AZ584" s="4"/>
    </row>
    <row r="585" ht="12.75" customHeight="1">
      <c r="D585" s="1"/>
      <c r="J585" s="1"/>
      <c r="P585" s="1"/>
      <c r="V585" s="1"/>
      <c r="AB585" s="1"/>
      <c r="AH585" s="1"/>
      <c r="AN585" s="1"/>
      <c r="AT585" s="1"/>
      <c r="AZ585" s="4"/>
    </row>
    <row r="586" ht="12.75" customHeight="1">
      <c r="D586" s="1"/>
      <c r="J586" s="1"/>
      <c r="P586" s="1"/>
      <c r="V586" s="1"/>
      <c r="AB586" s="1"/>
      <c r="AH586" s="1"/>
      <c r="AN586" s="1"/>
      <c r="AT586" s="1"/>
      <c r="AZ586" s="4"/>
    </row>
    <row r="587" ht="12.75" customHeight="1">
      <c r="D587" s="1"/>
      <c r="J587" s="1"/>
      <c r="P587" s="1"/>
      <c r="V587" s="1"/>
      <c r="AB587" s="1"/>
      <c r="AH587" s="1"/>
      <c r="AN587" s="1"/>
      <c r="AT587" s="1"/>
      <c r="AZ587" s="4"/>
    </row>
    <row r="588" ht="12.75" customHeight="1">
      <c r="D588" s="1"/>
      <c r="J588" s="1"/>
      <c r="P588" s="1"/>
      <c r="V588" s="1"/>
      <c r="AB588" s="1"/>
      <c r="AH588" s="1"/>
      <c r="AN588" s="1"/>
      <c r="AT588" s="1"/>
      <c r="AZ588" s="4"/>
    </row>
    <row r="589" ht="12.75" customHeight="1">
      <c r="D589" s="1"/>
      <c r="J589" s="1"/>
      <c r="P589" s="1"/>
      <c r="V589" s="1"/>
      <c r="AB589" s="1"/>
      <c r="AH589" s="1"/>
      <c r="AN589" s="1"/>
      <c r="AT589" s="1"/>
      <c r="AZ589" s="4"/>
    </row>
    <row r="590" ht="12.75" customHeight="1">
      <c r="D590" s="1"/>
      <c r="J590" s="1"/>
      <c r="P590" s="1"/>
      <c r="V590" s="1"/>
      <c r="AB590" s="1"/>
      <c r="AH590" s="1"/>
      <c r="AN590" s="1"/>
      <c r="AT590" s="1"/>
      <c r="AZ590" s="4"/>
    </row>
    <row r="591" ht="12.75" customHeight="1">
      <c r="D591" s="1"/>
      <c r="J591" s="1"/>
      <c r="P591" s="1"/>
      <c r="V591" s="1"/>
      <c r="AB591" s="1"/>
      <c r="AH591" s="1"/>
      <c r="AN591" s="1"/>
      <c r="AT591" s="1"/>
      <c r="AZ591" s="4"/>
    </row>
    <row r="592" ht="12.75" customHeight="1">
      <c r="D592" s="1"/>
      <c r="J592" s="1"/>
      <c r="P592" s="1"/>
      <c r="V592" s="1"/>
      <c r="AB592" s="1"/>
      <c r="AH592" s="1"/>
      <c r="AN592" s="1"/>
      <c r="AT592" s="1"/>
      <c r="AZ592" s="4"/>
    </row>
    <row r="593" ht="12.75" customHeight="1">
      <c r="D593" s="1"/>
      <c r="J593" s="1"/>
      <c r="P593" s="1"/>
      <c r="V593" s="1"/>
      <c r="AB593" s="1"/>
      <c r="AH593" s="1"/>
      <c r="AN593" s="1"/>
      <c r="AT593" s="1"/>
      <c r="AZ593" s="4"/>
    </row>
    <row r="594" ht="12.75" customHeight="1">
      <c r="D594" s="1"/>
      <c r="J594" s="1"/>
      <c r="P594" s="1"/>
      <c r="V594" s="1"/>
      <c r="AB594" s="1"/>
      <c r="AH594" s="1"/>
      <c r="AN594" s="1"/>
      <c r="AT594" s="1"/>
      <c r="AZ594" s="4"/>
    </row>
    <row r="595" ht="12.75" customHeight="1">
      <c r="D595" s="1"/>
      <c r="J595" s="1"/>
      <c r="P595" s="1"/>
      <c r="V595" s="1"/>
      <c r="AB595" s="1"/>
      <c r="AH595" s="1"/>
      <c r="AN595" s="1"/>
      <c r="AT595" s="1"/>
      <c r="AZ595" s="4"/>
    </row>
    <row r="596" ht="12.75" customHeight="1">
      <c r="D596" s="1"/>
      <c r="J596" s="1"/>
      <c r="P596" s="1"/>
      <c r="V596" s="1"/>
      <c r="AB596" s="1"/>
      <c r="AH596" s="1"/>
      <c r="AN596" s="1"/>
      <c r="AT596" s="1"/>
      <c r="AZ596" s="4"/>
    </row>
    <row r="597" ht="12.75" customHeight="1">
      <c r="D597" s="1"/>
      <c r="J597" s="1"/>
      <c r="P597" s="1"/>
      <c r="V597" s="1"/>
      <c r="AB597" s="1"/>
      <c r="AH597" s="1"/>
      <c r="AN597" s="1"/>
      <c r="AT597" s="1"/>
      <c r="AZ597" s="4"/>
    </row>
    <row r="598" ht="12.75" customHeight="1">
      <c r="D598" s="1"/>
      <c r="J598" s="1"/>
      <c r="P598" s="1"/>
      <c r="V598" s="1"/>
      <c r="AB598" s="1"/>
      <c r="AH598" s="1"/>
      <c r="AN598" s="1"/>
      <c r="AT598" s="1"/>
      <c r="AZ598" s="4"/>
    </row>
    <row r="599" ht="12.75" customHeight="1">
      <c r="D599" s="1"/>
      <c r="J599" s="1"/>
      <c r="P599" s="1"/>
      <c r="V599" s="1"/>
      <c r="AB599" s="1"/>
      <c r="AH599" s="1"/>
      <c r="AN599" s="1"/>
      <c r="AT599" s="1"/>
      <c r="AZ599" s="4"/>
    </row>
    <row r="600" ht="12.75" customHeight="1">
      <c r="D600" s="1"/>
      <c r="J600" s="1"/>
      <c r="P600" s="1"/>
      <c r="V600" s="1"/>
      <c r="AB600" s="1"/>
      <c r="AH600" s="1"/>
      <c r="AN600" s="1"/>
      <c r="AT600" s="1"/>
      <c r="AZ600" s="4"/>
    </row>
    <row r="601" ht="12.75" customHeight="1">
      <c r="D601" s="1"/>
      <c r="J601" s="1"/>
      <c r="P601" s="1"/>
      <c r="V601" s="1"/>
      <c r="AB601" s="1"/>
      <c r="AH601" s="1"/>
      <c r="AN601" s="1"/>
      <c r="AT601" s="1"/>
      <c r="AZ601" s="4"/>
    </row>
    <row r="602" ht="12.75" customHeight="1">
      <c r="D602" s="1"/>
      <c r="J602" s="1"/>
      <c r="P602" s="1"/>
      <c r="V602" s="1"/>
      <c r="AB602" s="1"/>
      <c r="AH602" s="1"/>
      <c r="AN602" s="1"/>
      <c r="AT602" s="1"/>
      <c r="AZ602" s="4"/>
    </row>
    <row r="603" ht="12.75" customHeight="1">
      <c r="D603" s="1"/>
      <c r="J603" s="1"/>
      <c r="P603" s="1"/>
      <c r="V603" s="1"/>
      <c r="AB603" s="1"/>
      <c r="AH603" s="1"/>
      <c r="AN603" s="1"/>
      <c r="AT603" s="1"/>
      <c r="AZ603" s="4"/>
    </row>
    <row r="604" ht="12.75" customHeight="1">
      <c r="D604" s="1"/>
      <c r="J604" s="1"/>
      <c r="P604" s="1"/>
      <c r="V604" s="1"/>
      <c r="AB604" s="1"/>
      <c r="AH604" s="1"/>
      <c r="AN604" s="1"/>
      <c r="AT604" s="1"/>
      <c r="AZ604" s="4"/>
    </row>
    <row r="605" ht="12.75" customHeight="1">
      <c r="D605" s="1"/>
      <c r="J605" s="1"/>
      <c r="P605" s="1"/>
      <c r="V605" s="1"/>
      <c r="AB605" s="1"/>
      <c r="AH605" s="1"/>
      <c r="AN605" s="1"/>
      <c r="AT605" s="1"/>
      <c r="AZ605" s="4"/>
    </row>
    <row r="606" ht="12.75" customHeight="1">
      <c r="D606" s="1"/>
      <c r="J606" s="1"/>
      <c r="P606" s="1"/>
      <c r="V606" s="1"/>
      <c r="AB606" s="1"/>
      <c r="AH606" s="1"/>
      <c r="AN606" s="1"/>
      <c r="AT606" s="1"/>
      <c r="AZ606" s="4"/>
    </row>
    <row r="607" ht="12.75" customHeight="1">
      <c r="D607" s="1"/>
      <c r="J607" s="1"/>
      <c r="P607" s="1"/>
      <c r="V607" s="1"/>
      <c r="AB607" s="1"/>
      <c r="AH607" s="1"/>
      <c r="AN607" s="1"/>
      <c r="AT607" s="1"/>
      <c r="AZ607" s="4"/>
    </row>
    <row r="608" ht="12.75" customHeight="1">
      <c r="D608" s="1"/>
      <c r="J608" s="1"/>
      <c r="P608" s="1"/>
      <c r="V608" s="1"/>
      <c r="AB608" s="1"/>
      <c r="AH608" s="1"/>
      <c r="AN608" s="1"/>
      <c r="AT608" s="1"/>
      <c r="AZ608" s="4"/>
    </row>
    <row r="609" ht="12.75" customHeight="1">
      <c r="D609" s="1"/>
      <c r="J609" s="1"/>
      <c r="P609" s="1"/>
      <c r="V609" s="1"/>
      <c r="AB609" s="1"/>
      <c r="AH609" s="1"/>
      <c r="AN609" s="1"/>
      <c r="AT609" s="1"/>
      <c r="AZ609" s="4"/>
    </row>
    <row r="610" ht="12.75" customHeight="1">
      <c r="D610" s="1"/>
      <c r="J610" s="1"/>
      <c r="P610" s="1"/>
      <c r="V610" s="1"/>
      <c r="AB610" s="1"/>
      <c r="AH610" s="1"/>
      <c r="AN610" s="1"/>
      <c r="AT610" s="1"/>
      <c r="AZ610" s="4"/>
    </row>
    <row r="611" ht="12.75" customHeight="1">
      <c r="D611" s="1"/>
      <c r="J611" s="1"/>
      <c r="P611" s="1"/>
      <c r="V611" s="1"/>
      <c r="AB611" s="1"/>
      <c r="AH611" s="1"/>
      <c r="AN611" s="1"/>
      <c r="AT611" s="1"/>
      <c r="AZ611" s="4"/>
    </row>
    <row r="612" ht="12.75" customHeight="1">
      <c r="D612" s="1"/>
      <c r="J612" s="1"/>
      <c r="P612" s="1"/>
      <c r="V612" s="1"/>
      <c r="AB612" s="1"/>
      <c r="AH612" s="1"/>
      <c r="AN612" s="1"/>
      <c r="AT612" s="1"/>
      <c r="AZ612" s="4"/>
    </row>
    <row r="613" ht="12.75" customHeight="1">
      <c r="D613" s="1"/>
      <c r="J613" s="1"/>
      <c r="P613" s="1"/>
      <c r="V613" s="1"/>
      <c r="AB613" s="1"/>
      <c r="AH613" s="1"/>
      <c r="AN613" s="1"/>
      <c r="AT613" s="1"/>
      <c r="AZ613" s="4"/>
    </row>
    <row r="614" ht="12.75" customHeight="1">
      <c r="D614" s="1"/>
      <c r="J614" s="1"/>
      <c r="P614" s="1"/>
      <c r="V614" s="1"/>
      <c r="AB614" s="1"/>
      <c r="AH614" s="1"/>
      <c r="AN614" s="1"/>
      <c r="AT614" s="1"/>
      <c r="AZ614" s="4"/>
    </row>
    <row r="615" ht="12.75" customHeight="1">
      <c r="D615" s="1"/>
      <c r="J615" s="1"/>
      <c r="P615" s="1"/>
      <c r="V615" s="1"/>
      <c r="AB615" s="1"/>
      <c r="AH615" s="1"/>
      <c r="AN615" s="1"/>
      <c r="AT615" s="1"/>
      <c r="AZ615" s="4"/>
    </row>
    <row r="616" ht="12.75" customHeight="1">
      <c r="D616" s="1"/>
      <c r="J616" s="1"/>
      <c r="P616" s="1"/>
      <c r="V616" s="1"/>
      <c r="AB616" s="1"/>
      <c r="AH616" s="1"/>
      <c r="AN616" s="1"/>
      <c r="AT616" s="1"/>
      <c r="AZ616" s="4"/>
    </row>
    <row r="617" ht="12.75" customHeight="1">
      <c r="D617" s="1"/>
      <c r="J617" s="1"/>
      <c r="P617" s="1"/>
      <c r="V617" s="1"/>
      <c r="AB617" s="1"/>
      <c r="AH617" s="1"/>
      <c r="AN617" s="1"/>
      <c r="AT617" s="1"/>
      <c r="AZ617" s="4"/>
    </row>
    <row r="618" ht="12.75" customHeight="1">
      <c r="D618" s="1"/>
      <c r="J618" s="1"/>
      <c r="P618" s="1"/>
      <c r="V618" s="1"/>
      <c r="AB618" s="1"/>
      <c r="AH618" s="1"/>
      <c r="AN618" s="1"/>
      <c r="AT618" s="1"/>
      <c r="AZ618" s="4"/>
    </row>
    <row r="619" ht="12.75" customHeight="1">
      <c r="D619" s="1"/>
      <c r="J619" s="1"/>
      <c r="P619" s="1"/>
      <c r="V619" s="1"/>
      <c r="AB619" s="1"/>
      <c r="AH619" s="1"/>
      <c r="AN619" s="1"/>
      <c r="AT619" s="1"/>
      <c r="AZ619" s="4"/>
    </row>
    <row r="620" ht="12.75" customHeight="1">
      <c r="D620" s="1"/>
      <c r="J620" s="1"/>
      <c r="P620" s="1"/>
      <c r="V620" s="1"/>
      <c r="AB620" s="1"/>
      <c r="AH620" s="1"/>
      <c r="AN620" s="1"/>
      <c r="AT620" s="1"/>
      <c r="AZ620" s="4"/>
    </row>
    <row r="621" ht="12.75" customHeight="1">
      <c r="D621" s="1"/>
      <c r="J621" s="1"/>
      <c r="P621" s="1"/>
      <c r="V621" s="1"/>
      <c r="AB621" s="1"/>
      <c r="AH621" s="1"/>
      <c r="AN621" s="1"/>
      <c r="AT621" s="1"/>
      <c r="AZ621" s="4"/>
    </row>
    <row r="622" ht="12.75" customHeight="1">
      <c r="D622" s="1"/>
      <c r="J622" s="1"/>
      <c r="P622" s="1"/>
      <c r="V622" s="1"/>
      <c r="AB622" s="1"/>
      <c r="AH622" s="1"/>
      <c r="AN622" s="1"/>
      <c r="AT622" s="1"/>
      <c r="AZ622" s="4"/>
    </row>
    <row r="623" ht="12.75" customHeight="1">
      <c r="D623" s="1"/>
      <c r="J623" s="1"/>
      <c r="P623" s="1"/>
      <c r="V623" s="1"/>
      <c r="AB623" s="1"/>
      <c r="AH623" s="1"/>
      <c r="AN623" s="1"/>
      <c r="AT623" s="1"/>
      <c r="AZ623" s="4"/>
    </row>
    <row r="624" ht="12.75" customHeight="1">
      <c r="D624" s="1"/>
      <c r="J624" s="1"/>
      <c r="P624" s="1"/>
      <c r="V624" s="1"/>
      <c r="AB624" s="1"/>
      <c r="AH624" s="1"/>
      <c r="AN624" s="1"/>
      <c r="AT624" s="1"/>
      <c r="AZ624" s="4"/>
    </row>
    <row r="625" ht="12.75" customHeight="1">
      <c r="D625" s="1"/>
      <c r="J625" s="1"/>
      <c r="P625" s="1"/>
      <c r="V625" s="1"/>
      <c r="AB625" s="1"/>
      <c r="AH625" s="1"/>
      <c r="AN625" s="1"/>
      <c r="AT625" s="1"/>
      <c r="AZ625" s="4"/>
    </row>
    <row r="626" ht="12.75" customHeight="1">
      <c r="D626" s="1"/>
      <c r="J626" s="1"/>
      <c r="P626" s="1"/>
      <c r="V626" s="1"/>
      <c r="AB626" s="1"/>
      <c r="AH626" s="1"/>
      <c r="AN626" s="1"/>
      <c r="AT626" s="1"/>
      <c r="AZ626" s="4"/>
    </row>
    <row r="627" ht="12.75" customHeight="1">
      <c r="D627" s="1"/>
      <c r="J627" s="1"/>
      <c r="P627" s="1"/>
      <c r="V627" s="1"/>
      <c r="AB627" s="1"/>
      <c r="AH627" s="1"/>
      <c r="AN627" s="1"/>
      <c r="AT627" s="1"/>
      <c r="AZ627" s="4"/>
    </row>
    <row r="628" ht="12.75" customHeight="1">
      <c r="D628" s="1"/>
      <c r="J628" s="1"/>
      <c r="P628" s="1"/>
      <c r="V628" s="1"/>
      <c r="AB628" s="1"/>
      <c r="AH628" s="1"/>
      <c r="AN628" s="1"/>
      <c r="AT628" s="1"/>
      <c r="AZ628" s="4"/>
    </row>
    <row r="629" ht="12.75" customHeight="1">
      <c r="D629" s="1"/>
      <c r="J629" s="1"/>
      <c r="P629" s="1"/>
      <c r="V629" s="1"/>
      <c r="AB629" s="1"/>
      <c r="AH629" s="1"/>
      <c r="AN629" s="1"/>
      <c r="AT629" s="1"/>
      <c r="AZ629" s="4"/>
    </row>
    <row r="630" ht="12.75" customHeight="1">
      <c r="D630" s="1"/>
      <c r="J630" s="1"/>
      <c r="P630" s="1"/>
      <c r="V630" s="1"/>
      <c r="AB630" s="1"/>
      <c r="AH630" s="1"/>
      <c r="AN630" s="1"/>
      <c r="AT630" s="1"/>
      <c r="AZ630" s="4"/>
    </row>
    <row r="631" ht="12.75" customHeight="1">
      <c r="D631" s="1"/>
      <c r="J631" s="1"/>
      <c r="P631" s="1"/>
      <c r="V631" s="1"/>
      <c r="AB631" s="1"/>
      <c r="AH631" s="1"/>
      <c r="AN631" s="1"/>
      <c r="AT631" s="1"/>
      <c r="AZ631" s="4"/>
    </row>
    <row r="632" ht="12.75" customHeight="1">
      <c r="D632" s="1"/>
      <c r="J632" s="1"/>
      <c r="P632" s="1"/>
      <c r="V632" s="1"/>
      <c r="AB632" s="1"/>
      <c r="AH632" s="1"/>
      <c r="AN632" s="1"/>
      <c r="AT632" s="1"/>
      <c r="AZ632" s="4"/>
    </row>
    <row r="633" ht="12.75" customHeight="1">
      <c r="D633" s="1"/>
      <c r="J633" s="1"/>
      <c r="P633" s="1"/>
      <c r="V633" s="1"/>
      <c r="AB633" s="1"/>
      <c r="AH633" s="1"/>
      <c r="AN633" s="1"/>
      <c r="AT633" s="1"/>
      <c r="AZ633" s="4"/>
    </row>
    <row r="634" ht="12.75" customHeight="1">
      <c r="D634" s="1"/>
      <c r="J634" s="1"/>
      <c r="P634" s="1"/>
      <c r="V634" s="1"/>
      <c r="AB634" s="1"/>
      <c r="AH634" s="1"/>
      <c r="AN634" s="1"/>
      <c r="AT634" s="1"/>
      <c r="AZ634" s="4"/>
    </row>
    <row r="635" ht="12.75" customHeight="1">
      <c r="D635" s="1"/>
      <c r="J635" s="1"/>
      <c r="P635" s="1"/>
      <c r="V635" s="1"/>
      <c r="AB635" s="1"/>
      <c r="AH635" s="1"/>
      <c r="AN635" s="1"/>
      <c r="AT635" s="1"/>
      <c r="AZ635" s="4"/>
    </row>
    <row r="636" ht="12.75" customHeight="1">
      <c r="D636" s="1"/>
      <c r="J636" s="1"/>
      <c r="P636" s="1"/>
      <c r="V636" s="1"/>
      <c r="AB636" s="1"/>
      <c r="AH636" s="1"/>
      <c r="AN636" s="1"/>
      <c r="AT636" s="1"/>
      <c r="AZ636" s="4"/>
    </row>
    <row r="637" ht="12.75" customHeight="1">
      <c r="D637" s="1"/>
      <c r="J637" s="1"/>
      <c r="P637" s="1"/>
      <c r="V637" s="1"/>
      <c r="AB637" s="1"/>
      <c r="AH637" s="1"/>
      <c r="AN637" s="1"/>
      <c r="AT637" s="1"/>
      <c r="AZ637" s="4"/>
    </row>
    <row r="638" ht="12.75" customHeight="1">
      <c r="D638" s="1"/>
      <c r="J638" s="1"/>
      <c r="P638" s="1"/>
      <c r="V638" s="1"/>
      <c r="AB638" s="1"/>
      <c r="AH638" s="1"/>
      <c r="AN638" s="1"/>
      <c r="AT638" s="1"/>
      <c r="AZ638" s="4"/>
    </row>
    <row r="639" ht="12.75" customHeight="1">
      <c r="D639" s="1"/>
      <c r="J639" s="1"/>
      <c r="P639" s="1"/>
      <c r="V639" s="1"/>
      <c r="AB639" s="1"/>
      <c r="AH639" s="1"/>
      <c r="AN639" s="1"/>
      <c r="AT639" s="1"/>
      <c r="AZ639" s="4"/>
    </row>
    <row r="640" ht="12.75" customHeight="1">
      <c r="D640" s="1"/>
      <c r="J640" s="1"/>
      <c r="P640" s="1"/>
      <c r="V640" s="1"/>
      <c r="AB640" s="1"/>
      <c r="AH640" s="1"/>
      <c r="AN640" s="1"/>
      <c r="AT640" s="1"/>
      <c r="AZ640" s="4"/>
    </row>
    <row r="641" ht="12.75" customHeight="1">
      <c r="D641" s="1"/>
      <c r="J641" s="1"/>
      <c r="P641" s="1"/>
      <c r="V641" s="1"/>
      <c r="AB641" s="1"/>
      <c r="AH641" s="1"/>
      <c r="AN641" s="1"/>
      <c r="AT641" s="1"/>
      <c r="AZ641" s="4"/>
    </row>
    <row r="642" ht="12.75" customHeight="1">
      <c r="D642" s="1"/>
      <c r="J642" s="1"/>
      <c r="P642" s="1"/>
      <c r="V642" s="1"/>
      <c r="AB642" s="1"/>
      <c r="AH642" s="1"/>
      <c r="AN642" s="1"/>
      <c r="AT642" s="1"/>
      <c r="AZ642" s="4"/>
    </row>
    <row r="643" ht="12.75" customHeight="1">
      <c r="D643" s="1"/>
      <c r="J643" s="1"/>
      <c r="P643" s="1"/>
      <c r="V643" s="1"/>
      <c r="AB643" s="1"/>
      <c r="AH643" s="1"/>
      <c r="AN643" s="1"/>
      <c r="AT643" s="1"/>
      <c r="AZ643" s="4"/>
    </row>
    <row r="644" ht="12.75" customHeight="1">
      <c r="D644" s="1"/>
      <c r="J644" s="1"/>
      <c r="P644" s="1"/>
      <c r="V644" s="1"/>
      <c r="AB644" s="1"/>
      <c r="AH644" s="1"/>
      <c r="AN644" s="1"/>
      <c r="AT644" s="1"/>
      <c r="AZ644" s="4"/>
    </row>
    <row r="645" ht="12.75" customHeight="1">
      <c r="D645" s="1"/>
      <c r="J645" s="1"/>
      <c r="P645" s="1"/>
      <c r="V645" s="1"/>
      <c r="AB645" s="1"/>
      <c r="AH645" s="1"/>
      <c r="AN645" s="1"/>
      <c r="AT645" s="1"/>
      <c r="AZ645" s="4"/>
    </row>
    <row r="646" ht="12.75" customHeight="1">
      <c r="D646" s="1"/>
      <c r="J646" s="1"/>
      <c r="P646" s="1"/>
      <c r="V646" s="1"/>
      <c r="AB646" s="1"/>
      <c r="AH646" s="1"/>
      <c r="AN646" s="1"/>
      <c r="AT646" s="1"/>
      <c r="AZ646" s="4"/>
    </row>
    <row r="647" ht="12.75" customHeight="1">
      <c r="D647" s="1"/>
      <c r="J647" s="1"/>
      <c r="P647" s="1"/>
      <c r="V647" s="1"/>
      <c r="AB647" s="1"/>
      <c r="AH647" s="1"/>
      <c r="AN647" s="1"/>
      <c r="AT647" s="1"/>
      <c r="AZ647" s="4"/>
    </row>
    <row r="648" ht="12.75" customHeight="1">
      <c r="D648" s="1"/>
      <c r="J648" s="1"/>
      <c r="P648" s="1"/>
      <c r="V648" s="1"/>
      <c r="AB648" s="1"/>
      <c r="AH648" s="1"/>
      <c r="AN648" s="1"/>
      <c r="AT648" s="1"/>
      <c r="AZ648" s="4"/>
    </row>
    <row r="649" ht="12.75" customHeight="1">
      <c r="D649" s="1"/>
      <c r="J649" s="1"/>
      <c r="P649" s="1"/>
      <c r="V649" s="1"/>
      <c r="AB649" s="1"/>
      <c r="AH649" s="1"/>
      <c r="AN649" s="1"/>
      <c r="AT649" s="1"/>
      <c r="AZ649" s="4"/>
    </row>
    <row r="650" ht="12.75" customHeight="1">
      <c r="D650" s="1"/>
      <c r="J650" s="1"/>
      <c r="P650" s="1"/>
      <c r="V650" s="1"/>
      <c r="AB650" s="1"/>
      <c r="AH650" s="1"/>
      <c r="AN650" s="1"/>
      <c r="AT650" s="1"/>
      <c r="AZ650" s="4"/>
    </row>
    <row r="651" ht="12.75" customHeight="1">
      <c r="D651" s="1"/>
      <c r="J651" s="1"/>
      <c r="P651" s="1"/>
      <c r="V651" s="1"/>
      <c r="AB651" s="1"/>
      <c r="AH651" s="1"/>
      <c r="AN651" s="1"/>
      <c r="AT651" s="1"/>
      <c r="AZ651" s="4"/>
    </row>
    <row r="652" ht="12.75" customHeight="1">
      <c r="D652" s="1"/>
      <c r="J652" s="1"/>
      <c r="P652" s="1"/>
      <c r="V652" s="1"/>
      <c r="AB652" s="1"/>
      <c r="AH652" s="1"/>
      <c r="AN652" s="1"/>
      <c r="AT652" s="1"/>
      <c r="AZ652" s="4"/>
    </row>
    <row r="653" ht="12.75" customHeight="1">
      <c r="D653" s="1"/>
      <c r="J653" s="1"/>
      <c r="P653" s="1"/>
      <c r="V653" s="1"/>
      <c r="AB653" s="1"/>
      <c r="AH653" s="1"/>
      <c r="AN653" s="1"/>
      <c r="AT653" s="1"/>
      <c r="AZ653" s="4"/>
    </row>
    <row r="654" ht="12.75" customHeight="1">
      <c r="D654" s="1"/>
      <c r="J654" s="1"/>
      <c r="P654" s="1"/>
      <c r="V654" s="1"/>
      <c r="AB654" s="1"/>
      <c r="AH654" s="1"/>
      <c r="AN654" s="1"/>
      <c r="AT654" s="1"/>
      <c r="AZ654" s="4"/>
    </row>
    <row r="655" ht="12.75" customHeight="1">
      <c r="D655" s="1"/>
      <c r="J655" s="1"/>
      <c r="P655" s="1"/>
      <c r="V655" s="1"/>
      <c r="AB655" s="1"/>
      <c r="AH655" s="1"/>
      <c r="AN655" s="1"/>
      <c r="AT655" s="1"/>
      <c r="AZ655" s="4"/>
    </row>
    <row r="656" ht="12.75" customHeight="1">
      <c r="D656" s="1"/>
      <c r="J656" s="1"/>
      <c r="P656" s="1"/>
      <c r="V656" s="1"/>
      <c r="AB656" s="1"/>
      <c r="AH656" s="1"/>
      <c r="AN656" s="1"/>
      <c r="AT656" s="1"/>
      <c r="AZ656" s="4"/>
    </row>
    <row r="657" ht="12.75" customHeight="1">
      <c r="D657" s="1"/>
      <c r="J657" s="1"/>
      <c r="P657" s="1"/>
      <c r="V657" s="1"/>
      <c r="AB657" s="1"/>
      <c r="AH657" s="1"/>
      <c r="AN657" s="1"/>
      <c r="AT657" s="1"/>
      <c r="AZ657" s="4"/>
    </row>
    <row r="658" ht="12.75" customHeight="1">
      <c r="D658" s="1"/>
      <c r="J658" s="1"/>
      <c r="P658" s="1"/>
      <c r="V658" s="1"/>
      <c r="AB658" s="1"/>
      <c r="AH658" s="1"/>
      <c r="AN658" s="1"/>
      <c r="AT658" s="1"/>
      <c r="AZ658" s="4"/>
    </row>
    <row r="659" ht="12.75" customHeight="1">
      <c r="D659" s="1"/>
      <c r="J659" s="1"/>
      <c r="P659" s="1"/>
      <c r="V659" s="1"/>
      <c r="AB659" s="1"/>
      <c r="AH659" s="1"/>
      <c r="AN659" s="1"/>
      <c r="AT659" s="1"/>
      <c r="AZ659" s="4"/>
    </row>
    <row r="660" ht="12.75" customHeight="1">
      <c r="D660" s="1"/>
      <c r="J660" s="1"/>
      <c r="P660" s="1"/>
      <c r="V660" s="1"/>
      <c r="AB660" s="1"/>
      <c r="AH660" s="1"/>
      <c r="AN660" s="1"/>
      <c r="AT660" s="1"/>
      <c r="AZ660" s="4"/>
    </row>
    <row r="661" ht="12.75" customHeight="1">
      <c r="D661" s="1"/>
      <c r="J661" s="1"/>
      <c r="P661" s="1"/>
      <c r="V661" s="1"/>
      <c r="AB661" s="1"/>
      <c r="AH661" s="1"/>
      <c r="AN661" s="1"/>
      <c r="AT661" s="1"/>
      <c r="AZ661" s="4"/>
    </row>
    <row r="662" ht="12.75" customHeight="1">
      <c r="D662" s="1"/>
      <c r="J662" s="1"/>
      <c r="P662" s="1"/>
      <c r="V662" s="1"/>
      <c r="AB662" s="1"/>
      <c r="AH662" s="1"/>
      <c r="AN662" s="1"/>
      <c r="AT662" s="1"/>
      <c r="AZ662" s="4"/>
    </row>
    <row r="663" ht="12.75" customHeight="1">
      <c r="D663" s="1"/>
      <c r="J663" s="1"/>
      <c r="P663" s="1"/>
      <c r="V663" s="1"/>
      <c r="AB663" s="1"/>
      <c r="AH663" s="1"/>
      <c r="AN663" s="1"/>
      <c r="AT663" s="1"/>
      <c r="AZ663" s="4"/>
    </row>
    <row r="664" ht="12.75" customHeight="1">
      <c r="D664" s="1"/>
      <c r="J664" s="1"/>
      <c r="P664" s="1"/>
      <c r="V664" s="1"/>
      <c r="AB664" s="1"/>
      <c r="AH664" s="1"/>
      <c r="AN664" s="1"/>
      <c r="AT664" s="1"/>
      <c r="AZ664" s="4"/>
    </row>
    <row r="665" ht="12.75" customHeight="1">
      <c r="D665" s="1"/>
      <c r="J665" s="1"/>
      <c r="P665" s="1"/>
      <c r="V665" s="1"/>
      <c r="AB665" s="1"/>
      <c r="AH665" s="1"/>
      <c r="AN665" s="1"/>
      <c r="AT665" s="1"/>
      <c r="AZ665" s="4"/>
    </row>
    <row r="666" ht="12.75" customHeight="1">
      <c r="D666" s="1"/>
      <c r="J666" s="1"/>
      <c r="P666" s="1"/>
      <c r="V666" s="1"/>
      <c r="AB666" s="1"/>
      <c r="AH666" s="1"/>
      <c r="AN666" s="1"/>
      <c r="AT666" s="1"/>
      <c r="AZ666" s="4"/>
    </row>
    <row r="667" ht="12.75" customHeight="1">
      <c r="D667" s="1"/>
      <c r="J667" s="1"/>
      <c r="P667" s="1"/>
      <c r="V667" s="1"/>
      <c r="AB667" s="1"/>
      <c r="AH667" s="1"/>
      <c r="AN667" s="1"/>
      <c r="AT667" s="1"/>
      <c r="AZ667" s="4"/>
    </row>
    <row r="668" ht="12.75" customHeight="1">
      <c r="D668" s="1"/>
      <c r="J668" s="1"/>
      <c r="P668" s="1"/>
      <c r="V668" s="1"/>
      <c r="AB668" s="1"/>
      <c r="AH668" s="1"/>
      <c r="AN668" s="1"/>
      <c r="AT668" s="1"/>
      <c r="AZ668" s="4"/>
    </row>
    <row r="669" ht="12.75" customHeight="1">
      <c r="D669" s="1"/>
      <c r="J669" s="1"/>
      <c r="P669" s="1"/>
      <c r="V669" s="1"/>
      <c r="AB669" s="1"/>
      <c r="AH669" s="1"/>
      <c r="AN669" s="1"/>
      <c r="AT669" s="1"/>
      <c r="AZ669" s="4"/>
    </row>
    <row r="670" ht="12.75" customHeight="1">
      <c r="D670" s="1"/>
      <c r="J670" s="1"/>
      <c r="P670" s="1"/>
      <c r="V670" s="1"/>
      <c r="AB670" s="1"/>
      <c r="AH670" s="1"/>
      <c r="AN670" s="1"/>
      <c r="AT670" s="1"/>
      <c r="AZ670" s="4"/>
    </row>
    <row r="671" ht="12.75" customHeight="1">
      <c r="D671" s="1"/>
      <c r="J671" s="1"/>
      <c r="P671" s="1"/>
      <c r="V671" s="1"/>
      <c r="AB671" s="1"/>
      <c r="AH671" s="1"/>
      <c r="AN671" s="1"/>
      <c r="AT671" s="1"/>
      <c r="AZ671" s="4"/>
    </row>
    <row r="672" ht="12.75" customHeight="1">
      <c r="D672" s="1"/>
      <c r="J672" s="1"/>
      <c r="P672" s="1"/>
      <c r="V672" s="1"/>
      <c r="AB672" s="1"/>
      <c r="AH672" s="1"/>
      <c r="AN672" s="1"/>
      <c r="AT672" s="1"/>
      <c r="AZ672" s="4"/>
    </row>
    <row r="673" ht="12.75" customHeight="1">
      <c r="D673" s="1"/>
      <c r="J673" s="1"/>
      <c r="P673" s="1"/>
      <c r="V673" s="1"/>
      <c r="AB673" s="1"/>
      <c r="AH673" s="1"/>
      <c r="AN673" s="1"/>
      <c r="AT673" s="1"/>
      <c r="AZ673" s="4"/>
    </row>
    <row r="674" ht="12.75" customHeight="1">
      <c r="D674" s="1"/>
      <c r="J674" s="1"/>
      <c r="P674" s="1"/>
      <c r="V674" s="1"/>
      <c r="AB674" s="1"/>
      <c r="AH674" s="1"/>
      <c r="AN674" s="1"/>
      <c r="AT674" s="1"/>
      <c r="AZ674" s="4"/>
    </row>
    <row r="675" ht="12.75" customHeight="1">
      <c r="D675" s="1"/>
      <c r="J675" s="1"/>
      <c r="P675" s="1"/>
      <c r="V675" s="1"/>
      <c r="AB675" s="1"/>
      <c r="AH675" s="1"/>
      <c r="AN675" s="1"/>
      <c r="AT675" s="1"/>
      <c r="AZ675" s="4"/>
    </row>
    <row r="676" ht="12.75" customHeight="1">
      <c r="D676" s="1"/>
      <c r="J676" s="1"/>
      <c r="P676" s="1"/>
      <c r="V676" s="1"/>
      <c r="AB676" s="1"/>
      <c r="AH676" s="1"/>
      <c r="AN676" s="1"/>
      <c r="AT676" s="1"/>
      <c r="AZ676" s="4"/>
    </row>
    <row r="677" ht="12.75" customHeight="1">
      <c r="D677" s="1"/>
      <c r="J677" s="1"/>
      <c r="P677" s="1"/>
      <c r="V677" s="1"/>
      <c r="AB677" s="1"/>
      <c r="AH677" s="1"/>
      <c r="AN677" s="1"/>
      <c r="AT677" s="1"/>
      <c r="AZ677" s="4"/>
    </row>
    <row r="678" ht="12.75" customHeight="1">
      <c r="D678" s="1"/>
      <c r="J678" s="1"/>
      <c r="P678" s="1"/>
      <c r="V678" s="1"/>
      <c r="AB678" s="1"/>
      <c r="AH678" s="1"/>
      <c r="AN678" s="1"/>
      <c r="AT678" s="1"/>
      <c r="AZ678" s="4"/>
    </row>
    <row r="679" ht="12.75" customHeight="1">
      <c r="D679" s="1"/>
      <c r="J679" s="1"/>
      <c r="P679" s="1"/>
      <c r="V679" s="1"/>
      <c r="AB679" s="1"/>
      <c r="AH679" s="1"/>
      <c r="AN679" s="1"/>
      <c r="AT679" s="1"/>
      <c r="AZ679" s="4"/>
    </row>
    <row r="680" ht="12.75" customHeight="1">
      <c r="D680" s="1"/>
      <c r="J680" s="1"/>
      <c r="P680" s="1"/>
      <c r="V680" s="1"/>
      <c r="AB680" s="1"/>
      <c r="AH680" s="1"/>
      <c r="AN680" s="1"/>
      <c r="AT680" s="1"/>
      <c r="AZ680" s="4"/>
    </row>
    <row r="681" ht="12.75" customHeight="1">
      <c r="D681" s="1"/>
      <c r="J681" s="1"/>
      <c r="P681" s="1"/>
      <c r="V681" s="1"/>
      <c r="AB681" s="1"/>
      <c r="AH681" s="1"/>
      <c r="AN681" s="1"/>
      <c r="AT681" s="1"/>
      <c r="AZ681" s="4"/>
    </row>
    <row r="682" ht="12.75" customHeight="1">
      <c r="D682" s="1"/>
      <c r="J682" s="1"/>
      <c r="P682" s="1"/>
      <c r="V682" s="1"/>
      <c r="AB682" s="1"/>
      <c r="AH682" s="1"/>
      <c r="AN682" s="1"/>
      <c r="AT682" s="1"/>
      <c r="AZ682" s="4"/>
    </row>
    <row r="683" ht="12.75" customHeight="1">
      <c r="D683" s="1"/>
      <c r="J683" s="1"/>
      <c r="P683" s="1"/>
      <c r="V683" s="1"/>
      <c r="AB683" s="1"/>
      <c r="AH683" s="1"/>
      <c r="AN683" s="1"/>
      <c r="AT683" s="1"/>
      <c r="AZ683" s="4"/>
    </row>
    <row r="684" ht="12.75" customHeight="1">
      <c r="D684" s="1"/>
      <c r="J684" s="1"/>
      <c r="P684" s="1"/>
      <c r="V684" s="1"/>
      <c r="AB684" s="1"/>
      <c r="AH684" s="1"/>
      <c r="AN684" s="1"/>
      <c r="AT684" s="1"/>
      <c r="AZ684" s="4"/>
    </row>
    <row r="685" ht="12.75" customHeight="1">
      <c r="D685" s="1"/>
      <c r="J685" s="1"/>
      <c r="P685" s="1"/>
      <c r="V685" s="1"/>
      <c r="AB685" s="1"/>
      <c r="AH685" s="1"/>
      <c r="AN685" s="1"/>
      <c r="AT685" s="1"/>
      <c r="AZ685" s="4"/>
    </row>
    <row r="686" ht="12.75" customHeight="1">
      <c r="D686" s="1"/>
      <c r="J686" s="1"/>
      <c r="P686" s="1"/>
      <c r="V686" s="1"/>
      <c r="AB686" s="1"/>
      <c r="AH686" s="1"/>
      <c r="AN686" s="1"/>
      <c r="AT686" s="1"/>
      <c r="AZ686" s="4"/>
    </row>
    <row r="687" ht="12.75" customHeight="1">
      <c r="D687" s="1"/>
      <c r="J687" s="1"/>
      <c r="P687" s="1"/>
      <c r="V687" s="1"/>
      <c r="AB687" s="1"/>
      <c r="AH687" s="1"/>
      <c r="AN687" s="1"/>
      <c r="AT687" s="1"/>
      <c r="AZ687" s="4"/>
    </row>
    <row r="688" ht="12.75" customHeight="1">
      <c r="D688" s="1"/>
      <c r="J688" s="1"/>
      <c r="P688" s="1"/>
      <c r="V688" s="1"/>
      <c r="AB688" s="1"/>
      <c r="AH688" s="1"/>
      <c r="AN688" s="1"/>
      <c r="AT688" s="1"/>
      <c r="AZ688" s="4"/>
    </row>
    <row r="689" ht="12.75" customHeight="1">
      <c r="D689" s="1"/>
      <c r="J689" s="1"/>
      <c r="P689" s="1"/>
      <c r="V689" s="1"/>
      <c r="AB689" s="1"/>
      <c r="AH689" s="1"/>
      <c r="AN689" s="1"/>
      <c r="AT689" s="1"/>
      <c r="AZ689" s="4"/>
    </row>
    <row r="690" ht="12.75" customHeight="1">
      <c r="D690" s="1"/>
      <c r="J690" s="1"/>
      <c r="P690" s="1"/>
      <c r="V690" s="1"/>
      <c r="AB690" s="1"/>
      <c r="AH690" s="1"/>
      <c r="AN690" s="1"/>
      <c r="AT690" s="1"/>
      <c r="AZ690" s="4"/>
    </row>
    <row r="691" ht="12.75" customHeight="1">
      <c r="D691" s="1"/>
      <c r="J691" s="1"/>
      <c r="P691" s="1"/>
      <c r="V691" s="1"/>
      <c r="AB691" s="1"/>
      <c r="AH691" s="1"/>
      <c r="AN691" s="1"/>
      <c r="AT691" s="1"/>
      <c r="AZ691" s="4"/>
    </row>
    <row r="692" ht="12.75" customHeight="1">
      <c r="D692" s="1"/>
      <c r="J692" s="1"/>
      <c r="P692" s="1"/>
      <c r="V692" s="1"/>
      <c r="AB692" s="1"/>
      <c r="AH692" s="1"/>
      <c r="AN692" s="1"/>
      <c r="AT692" s="1"/>
      <c r="AZ692" s="4"/>
    </row>
    <row r="693" ht="12.75" customHeight="1">
      <c r="D693" s="1"/>
      <c r="J693" s="1"/>
      <c r="P693" s="1"/>
      <c r="V693" s="1"/>
      <c r="AB693" s="1"/>
      <c r="AH693" s="1"/>
      <c r="AN693" s="1"/>
      <c r="AT693" s="1"/>
      <c r="AZ693" s="4"/>
    </row>
    <row r="694" ht="12.75" customHeight="1">
      <c r="D694" s="1"/>
      <c r="J694" s="1"/>
      <c r="P694" s="1"/>
      <c r="V694" s="1"/>
      <c r="AB694" s="1"/>
      <c r="AH694" s="1"/>
      <c r="AN694" s="1"/>
      <c r="AT694" s="1"/>
      <c r="AZ694" s="4"/>
    </row>
    <row r="695" ht="12.75" customHeight="1">
      <c r="D695" s="1"/>
      <c r="J695" s="1"/>
      <c r="P695" s="1"/>
      <c r="V695" s="1"/>
      <c r="AB695" s="1"/>
      <c r="AH695" s="1"/>
      <c r="AN695" s="1"/>
      <c r="AT695" s="1"/>
      <c r="AZ695" s="4"/>
    </row>
    <row r="696" ht="12.75" customHeight="1">
      <c r="D696" s="1"/>
      <c r="J696" s="1"/>
      <c r="P696" s="1"/>
      <c r="V696" s="1"/>
      <c r="AB696" s="1"/>
      <c r="AH696" s="1"/>
      <c r="AN696" s="1"/>
      <c r="AT696" s="1"/>
      <c r="AZ696" s="4"/>
    </row>
    <row r="697" ht="12.75" customHeight="1">
      <c r="D697" s="1"/>
      <c r="J697" s="1"/>
      <c r="P697" s="1"/>
      <c r="V697" s="1"/>
      <c r="AB697" s="1"/>
      <c r="AH697" s="1"/>
      <c r="AN697" s="1"/>
      <c r="AT697" s="1"/>
      <c r="AZ697" s="4"/>
    </row>
    <row r="698" ht="12.75" customHeight="1">
      <c r="D698" s="1"/>
      <c r="J698" s="1"/>
      <c r="P698" s="1"/>
      <c r="V698" s="1"/>
      <c r="AB698" s="1"/>
      <c r="AH698" s="1"/>
      <c r="AN698" s="1"/>
      <c r="AT698" s="1"/>
      <c r="AZ698" s="4"/>
    </row>
    <row r="699" ht="12.75" customHeight="1">
      <c r="D699" s="1"/>
      <c r="J699" s="1"/>
      <c r="P699" s="1"/>
      <c r="V699" s="1"/>
      <c r="AB699" s="1"/>
      <c r="AH699" s="1"/>
      <c r="AN699" s="1"/>
      <c r="AT699" s="1"/>
      <c r="AZ699" s="4"/>
    </row>
    <row r="700" ht="12.75" customHeight="1">
      <c r="D700" s="1"/>
      <c r="J700" s="1"/>
      <c r="P700" s="1"/>
      <c r="V700" s="1"/>
      <c r="AB700" s="1"/>
      <c r="AH700" s="1"/>
      <c r="AN700" s="1"/>
      <c r="AT700" s="1"/>
      <c r="AZ700" s="4"/>
    </row>
    <row r="701" ht="12.75" customHeight="1">
      <c r="D701" s="1"/>
      <c r="J701" s="1"/>
      <c r="P701" s="1"/>
      <c r="V701" s="1"/>
      <c r="AB701" s="1"/>
      <c r="AH701" s="1"/>
      <c r="AN701" s="1"/>
      <c r="AT701" s="1"/>
      <c r="AZ701" s="4"/>
    </row>
    <row r="702" ht="12.75" customHeight="1">
      <c r="D702" s="1"/>
      <c r="J702" s="1"/>
      <c r="P702" s="1"/>
      <c r="V702" s="1"/>
      <c r="AB702" s="1"/>
      <c r="AH702" s="1"/>
      <c r="AN702" s="1"/>
      <c r="AT702" s="1"/>
      <c r="AZ702" s="4"/>
    </row>
    <row r="703" ht="12.75" customHeight="1">
      <c r="D703" s="1"/>
      <c r="J703" s="1"/>
      <c r="P703" s="1"/>
      <c r="V703" s="1"/>
      <c r="AB703" s="1"/>
      <c r="AH703" s="1"/>
      <c r="AN703" s="1"/>
      <c r="AT703" s="1"/>
      <c r="AZ703" s="4"/>
    </row>
    <row r="704" ht="12.75" customHeight="1">
      <c r="D704" s="1"/>
      <c r="J704" s="1"/>
      <c r="P704" s="1"/>
      <c r="V704" s="1"/>
      <c r="AB704" s="1"/>
      <c r="AH704" s="1"/>
      <c r="AN704" s="1"/>
      <c r="AT704" s="1"/>
      <c r="AZ704" s="4"/>
    </row>
    <row r="705" ht="12.75" customHeight="1">
      <c r="D705" s="1"/>
      <c r="J705" s="1"/>
      <c r="P705" s="1"/>
      <c r="V705" s="1"/>
      <c r="AB705" s="1"/>
      <c r="AH705" s="1"/>
      <c r="AN705" s="1"/>
      <c r="AT705" s="1"/>
      <c r="AZ705" s="4"/>
    </row>
    <row r="706" ht="12.75" customHeight="1">
      <c r="D706" s="1"/>
      <c r="J706" s="1"/>
      <c r="P706" s="1"/>
      <c r="V706" s="1"/>
      <c r="AB706" s="1"/>
      <c r="AH706" s="1"/>
      <c r="AN706" s="1"/>
      <c r="AT706" s="1"/>
      <c r="AZ706" s="4"/>
    </row>
    <row r="707" ht="12.75" customHeight="1">
      <c r="D707" s="1"/>
      <c r="J707" s="1"/>
      <c r="P707" s="1"/>
      <c r="V707" s="1"/>
      <c r="AB707" s="1"/>
      <c r="AH707" s="1"/>
      <c r="AN707" s="1"/>
      <c r="AT707" s="1"/>
      <c r="AZ707" s="4"/>
    </row>
    <row r="708" ht="12.75" customHeight="1">
      <c r="D708" s="1"/>
      <c r="J708" s="1"/>
      <c r="P708" s="1"/>
      <c r="V708" s="1"/>
      <c r="AB708" s="1"/>
      <c r="AH708" s="1"/>
      <c r="AN708" s="1"/>
      <c r="AT708" s="1"/>
      <c r="AZ708" s="4"/>
    </row>
    <row r="709" ht="12.75" customHeight="1">
      <c r="D709" s="1"/>
      <c r="J709" s="1"/>
      <c r="P709" s="1"/>
      <c r="V709" s="1"/>
      <c r="AB709" s="1"/>
      <c r="AH709" s="1"/>
      <c r="AN709" s="1"/>
      <c r="AT709" s="1"/>
      <c r="AZ709" s="4"/>
    </row>
    <row r="710" ht="12.75" customHeight="1">
      <c r="D710" s="1"/>
      <c r="J710" s="1"/>
      <c r="P710" s="1"/>
      <c r="V710" s="1"/>
      <c r="AB710" s="1"/>
      <c r="AH710" s="1"/>
      <c r="AN710" s="1"/>
      <c r="AT710" s="1"/>
      <c r="AZ710" s="4"/>
    </row>
    <row r="711" ht="12.75" customHeight="1">
      <c r="D711" s="1"/>
      <c r="J711" s="1"/>
      <c r="P711" s="1"/>
      <c r="V711" s="1"/>
      <c r="AB711" s="1"/>
      <c r="AH711" s="1"/>
      <c r="AN711" s="1"/>
      <c r="AT711" s="1"/>
      <c r="AZ711" s="4"/>
    </row>
    <row r="712" ht="12.75" customHeight="1">
      <c r="D712" s="1"/>
      <c r="J712" s="1"/>
      <c r="P712" s="1"/>
      <c r="V712" s="1"/>
      <c r="AB712" s="1"/>
      <c r="AH712" s="1"/>
      <c r="AN712" s="1"/>
      <c r="AT712" s="1"/>
      <c r="AZ712" s="4"/>
    </row>
    <row r="713" ht="12.75" customHeight="1">
      <c r="D713" s="1"/>
      <c r="J713" s="1"/>
      <c r="P713" s="1"/>
      <c r="V713" s="1"/>
      <c r="AB713" s="1"/>
      <c r="AH713" s="1"/>
      <c r="AN713" s="1"/>
      <c r="AT713" s="1"/>
      <c r="AZ713" s="4"/>
    </row>
    <row r="714" ht="12.75" customHeight="1">
      <c r="D714" s="1"/>
      <c r="J714" s="1"/>
      <c r="P714" s="1"/>
      <c r="V714" s="1"/>
      <c r="AB714" s="1"/>
      <c r="AH714" s="1"/>
      <c r="AN714" s="1"/>
      <c r="AT714" s="1"/>
      <c r="AZ714" s="4"/>
    </row>
    <row r="715" ht="12.75" customHeight="1">
      <c r="D715" s="1"/>
      <c r="J715" s="1"/>
      <c r="P715" s="1"/>
      <c r="V715" s="1"/>
      <c r="AB715" s="1"/>
      <c r="AH715" s="1"/>
      <c r="AN715" s="1"/>
      <c r="AT715" s="1"/>
      <c r="AZ715" s="4"/>
    </row>
    <row r="716" ht="12.75" customHeight="1">
      <c r="D716" s="1"/>
      <c r="J716" s="1"/>
      <c r="P716" s="1"/>
      <c r="V716" s="1"/>
      <c r="AB716" s="1"/>
      <c r="AH716" s="1"/>
      <c r="AN716" s="1"/>
      <c r="AT716" s="1"/>
      <c r="AZ716" s="4"/>
    </row>
    <row r="717" ht="12.75" customHeight="1">
      <c r="D717" s="1"/>
      <c r="J717" s="1"/>
      <c r="P717" s="1"/>
      <c r="V717" s="1"/>
      <c r="AB717" s="1"/>
      <c r="AH717" s="1"/>
      <c r="AN717" s="1"/>
      <c r="AT717" s="1"/>
      <c r="AZ717" s="4"/>
    </row>
    <row r="718" ht="12.75" customHeight="1">
      <c r="D718" s="1"/>
      <c r="J718" s="1"/>
      <c r="P718" s="1"/>
      <c r="V718" s="1"/>
      <c r="AB718" s="1"/>
      <c r="AH718" s="1"/>
      <c r="AN718" s="1"/>
      <c r="AT718" s="1"/>
      <c r="AZ718" s="4"/>
    </row>
    <row r="719" ht="12.75" customHeight="1">
      <c r="D719" s="1"/>
      <c r="J719" s="1"/>
      <c r="P719" s="1"/>
      <c r="V719" s="1"/>
      <c r="AB719" s="1"/>
      <c r="AH719" s="1"/>
      <c r="AN719" s="1"/>
      <c r="AT719" s="1"/>
      <c r="AZ719" s="4"/>
    </row>
    <row r="720" ht="12.75" customHeight="1">
      <c r="D720" s="1"/>
      <c r="J720" s="1"/>
      <c r="P720" s="1"/>
      <c r="V720" s="1"/>
      <c r="AB720" s="1"/>
      <c r="AH720" s="1"/>
      <c r="AN720" s="1"/>
      <c r="AT720" s="1"/>
      <c r="AZ720" s="4"/>
    </row>
    <row r="721" ht="12.75" customHeight="1">
      <c r="D721" s="1"/>
      <c r="J721" s="1"/>
      <c r="P721" s="1"/>
      <c r="V721" s="1"/>
      <c r="AB721" s="1"/>
      <c r="AH721" s="1"/>
      <c r="AN721" s="1"/>
      <c r="AT721" s="1"/>
      <c r="AZ721" s="4"/>
    </row>
    <row r="722" ht="12.75" customHeight="1">
      <c r="D722" s="1"/>
      <c r="J722" s="1"/>
      <c r="P722" s="1"/>
      <c r="V722" s="1"/>
      <c r="AB722" s="1"/>
      <c r="AH722" s="1"/>
      <c r="AN722" s="1"/>
      <c r="AT722" s="1"/>
      <c r="AZ722" s="4"/>
    </row>
    <row r="723" ht="12.75" customHeight="1">
      <c r="D723" s="1"/>
      <c r="J723" s="1"/>
      <c r="P723" s="1"/>
      <c r="V723" s="1"/>
      <c r="AB723" s="1"/>
      <c r="AH723" s="1"/>
      <c r="AN723" s="1"/>
      <c r="AT723" s="1"/>
      <c r="AZ723" s="4"/>
    </row>
    <row r="724" ht="12.75" customHeight="1">
      <c r="D724" s="1"/>
      <c r="J724" s="1"/>
      <c r="P724" s="1"/>
      <c r="V724" s="1"/>
      <c r="AB724" s="1"/>
      <c r="AH724" s="1"/>
      <c r="AN724" s="1"/>
      <c r="AT724" s="1"/>
      <c r="AZ724" s="4"/>
    </row>
    <row r="725" ht="12.75" customHeight="1">
      <c r="D725" s="1"/>
      <c r="J725" s="1"/>
      <c r="P725" s="1"/>
      <c r="V725" s="1"/>
      <c r="AB725" s="1"/>
      <c r="AH725" s="1"/>
      <c r="AN725" s="1"/>
      <c r="AT725" s="1"/>
      <c r="AZ725" s="4"/>
    </row>
    <row r="726" ht="12.75" customHeight="1">
      <c r="D726" s="1"/>
      <c r="J726" s="1"/>
      <c r="P726" s="1"/>
      <c r="V726" s="1"/>
      <c r="AB726" s="1"/>
      <c r="AH726" s="1"/>
      <c r="AN726" s="1"/>
      <c r="AT726" s="1"/>
      <c r="AZ726" s="4"/>
    </row>
    <row r="727" ht="12.75" customHeight="1">
      <c r="D727" s="1"/>
      <c r="J727" s="1"/>
      <c r="P727" s="1"/>
      <c r="V727" s="1"/>
      <c r="AB727" s="1"/>
      <c r="AH727" s="1"/>
      <c r="AN727" s="1"/>
      <c r="AT727" s="1"/>
      <c r="AZ727" s="4"/>
    </row>
    <row r="728" ht="12.75" customHeight="1">
      <c r="D728" s="1"/>
      <c r="J728" s="1"/>
      <c r="P728" s="1"/>
      <c r="V728" s="1"/>
      <c r="AB728" s="1"/>
      <c r="AH728" s="1"/>
      <c r="AN728" s="1"/>
      <c r="AT728" s="1"/>
      <c r="AZ728" s="4"/>
    </row>
    <row r="729" ht="12.75" customHeight="1">
      <c r="D729" s="1"/>
      <c r="J729" s="1"/>
      <c r="P729" s="1"/>
      <c r="V729" s="1"/>
      <c r="AB729" s="1"/>
      <c r="AH729" s="1"/>
      <c r="AN729" s="1"/>
      <c r="AT729" s="1"/>
      <c r="AZ729" s="4"/>
    </row>
    <row r="730" ht="12.75" customHeight="1">
      <c r="D730" s="1"/>
      <c r="J730" s="1"/>
      <c r="P730" s="1"/>
      <c r="V730" s="1"/>
      <c r="AB730" s="1"/>
      <c r="AH730" s="1"/>
      <c r="AN730" s="1"/>
      <c r="AT730" s="1"/>
      <c r="AZ730" s="4"/>
    </row>
    <row r="731" ht="12.75" customHeight="1">
      <c r="D731" s="1"/>
      <c r="J731" s="1"/>
      <c r="P731" s="1"/>
      <c r="V731" s="1"/>
      <c r="AB731" s="1"/>
      <c r="AH731" s="1"/>
      <c r="AN731" s="1"/>
      <c r="AT731" s="1"/>
      <c r="AZ731" s="4"/>
    </row>
    <row r="732" ht="12.75" customHeight="1">
      <c r="D732" s="1"/>
      <c r="J732" s="1"/>
      <c r="P732" s="1"/>
      <c r="V732" s="1"/>
      <c r="AB732" s="1"/>
      <c r="AH732" s="1"/>
      <c r="AN732" s="1"/>
      <c r="AT732" s="1"/>
      <c r="AZ732" s="4"/>
    </row>
    <row r="733" ht="12.75" customHeight="1">
      <c r="D733" s="1"/>
      <c r="J733" s="1"/>
      <c r="P733" s="1"/>
      <c r="V733" s="1"/>
      <c r="AB733" s="1"/>
      <c r="AH733" s="1"/>
      <c r="AN733" s="1"/>
      <c r="AT733" s="1"/>
      <c r="AZ733" s="4"/>
    </row>
    <row r="734" ht="12.75" customHeight="1">
      <c r="D734" s="1"/>
      <c r="J734" s="1"/>
      <c r="P734" s="1"/>
      <c r="V734" s="1"/>
      <c r="AB734" s="1"/>
      <c r="AH734" s="1"/>
      <c r="AN734" s="1"/>
      <c r="AT734" s="1"/>
      <c r="AZ734" s="4"/>
    </row>
    <row r="735" ht="12.75" customHeight="1">
      <c r="D735" s="1"/>
      <c r="J735" s="1"/>
      <c r="P735" s="1"/>
      <c r="V735" s="1"/>
      <c r="AB735" s="1"/>
      <c r="AH735" s="1"/>
      <c r="AN735" s="1"/>
      <c r="AT735" s="1"/>
      <c r="AZ735" s="4"/>
    </row>
    <row r="736" ht="12.75" customHeight="1">
      <c r="D736" s="1"/>
      <c r="J736" s="1"/>
      <c r="P736" s="1"/>
      <c r="V736" s="1"/>
      <c r="AB736" s="1"/>
      <c r="AH736" s="1"/>
      <c r="AN736" s="1"/>
      <c r="AT736" s="1"/>
      <c r="AZ736" s="4"/>
    </row>
    <row r="737" ht="12.75" customHeight="1">
      <c r="D737" s="1"/>
      <c r="J737" s="1"/>
      <c r="P737" s="1"/>
      <c r="V737" s="1"/>
      <c r="AB737" s="1"/>
      <c r="AH737" s="1"/>
      <c r="AN737" s="1"/>
      <c r="AT737" s="1"/>
      <c r="AZ737" s="4"/>
    </row>
    <row r="738" ht="12.75" customHeight="1">
      <c r="D738" s="1"/>
      <c r="J738" s="1"/>
      <c r="P738" s="1"/>
      <c r="V738" s="1"/>
      <c r="AB738" s="1"/>
      <c r="AH738" s="1"/>
      <c r="AN738" s="1"/>
      <c r="AT738" s="1"/>
      <c r="AZ738" s="4"/>
    </row>
    <row r="739" ht="12.75" customHeight="1">
      <c r="D739" s="1"/>
      <c r="J739" s="1"/>
      <c r="P739" s="1"/>
      <c r="V739" s="1"/>
      <c r="AB739" s="1"/>
      <c r="AH739" s="1"/>
      <c r="AN739" s="1"/>
      <c r="AT739" s="1"/>
      <c r="AZ739" s="4"/>
    </row>
    <row r="740" ht="12.75" customHeight="1">
      <c r="D740" s="1"/>
      <c r="J740" s="1"/>
      <c r="P740" s="1"/>
      <c r="V740" s="1"/>
      <c r="AB740" s="1"/>
      <c r="AH740" s="1"/>
      <c r="AN740" s="1"/>
      <c r="AT740" s="1"/>
      <c r="AZ740" s="4"/>
    </row>
    <row r="741" ht="12.75" customHeight="1">
      <c r="D741" s="1"/>
      <c r="J741" s="1"/>
      <c r="P741" s="1"/>
      <c r="V741" s="1"/>
      <c r="AB741" s="1"/>
      <c r="AH741" s="1"/>
      <c r="AN741" s="1"/>
      <c r="AT741" s="1"/>
      <c r="AZ741" s="4"/>
    </row>
    <row r="742" ht="12.75" customHeight="1">
      <c r="D742" s="1"/>
      <c r="J742" s="1"/>
      <c r="P742" s="1"/>
      <c r="V742" s="1"/>
      <c r="AB742" s="1"/>
      <c r="AH742" s="1"/>
      <c r="AN742" s="1"/>
      <c r="AT742" s="1"/>
      <c r="AZ742" s="4"/>
    </row>
    <row r="743" ht="12.75" customHeight="1">
      <c r="D743" s="1"/>
      <c r="J743" s="1"/>
      <c r="P743" s="1"/>
      <c r="V743" s="1"/>
      <c r="AB743" s="1"/>
      <c r="AH743" s="1"/>
      <c r="AN743" s="1"/>
      <c r="AT743" s="1"/>
      <c r="AZ743" s="4"/>
    </row>
    <row r="744" ht="12.75" customHeight="1">
      <c r="D744" s="1"/>
      <c r="J744" s="1"/>
      <c r="P744" s="1"/>
      <c r="V744" s="1"/>
      <c r="AB744" s="1"/>
      <c r="AH744" s="1"/>
      <c r="AN744" s="1"/>
      <c r="AT744" s="1"/>
      <c r="AZ744" s="4"/>
    </row>
    <row r="745" ht="12.75" customHeight="1">
      <c r="D745" s="1"/>
      <c r="J745" s="1"/>
      <c r="P745" s="1"/>
      <c r="V745" s="1"/>
      <c r="AB745" s="1"/>
      <c r="AH745" s="1"/>
      <c r="AN745" s="1"/>
      <c r="AT745" s="1"/>
      <c r="AZ745" s="4"/>
    </row>
    <row r="746" ht="12.75" customHeight="1">
      <c r="D746" s="1"/>
      <c r="J746" s="1"/>
      <c r="P746" s="1"/>
      <c r="V746" s="1"/>
      <c r="AB746" s="1"/>
      <c r="AH746" s="1"/>
      <c r="AN746" s="1"/>
      <c r="AT746" s="1"/>
      <c r="AZ746" s="4"/>
    </row>
    <row r="747" ht="12.75" customHeight="1">
      <c r="D747" s="1"/>
      <c r="J747" s="1"/>
      <c r="P747" s="1"/>
      <c r="V747" s="1"/>
      <c r="AB747" s="1"/>
      <c r="AH747" s="1"/>
      <c r="AN747" s="1"/>
      <c r="AT747" s="1"/>
      <c r="AZ747" s="4"/>
    </row>
    <row r="748" ht="12.75" customHeight="1">
      <c r="D748" s="1"/>
      <c r="J748" s="1"/>
      <c r="P748" s="1"/>
      <c r="V748" s="1"/>
      <c r="AB748" s="1"/>
      <c r="AH748" s="1"/>
      <c r="AN748" s="1"/>
      <c r="AT748" s="1"/>
      <c r="AZ748" s="4"/>
    </row>
    <row r="749" ht="12.75" customHeight="1">
      <c r="D749" s="1"/>
      <c r="J749" s="1"/>
      <c r="P749" s="1"/>
      <c r="V749" s="1"/>
      <c r="AB749" s="1"/>
      <c r="AH749" s="1"/>
      <c r="AN749" s="1"/>
      <c r="AT749" s="1"/>
      <c r="AZ749" s="4"/>
    </row>
    <row r="750" ht="12.75" customHeight="1">
      <c r="D750" s="1"/>
      <c r="J750" s="1"/>
      <c r="P750" s="1"/>
      <c r="V750" s="1"/>
      <c r="AB750" s="1"/>
      <c r="AH750" s="1"/>
      <c r="AN750" s="1"/>
      <c r="AT750" s="1"/>
      <c r="AZ750" s="4"/>
    </row>
    <row r="751" ht="12.75" customHeight="1">
      <c r="D751" s="1"/>
      <c r="J751" s="1"/>
      <c r="P751" s="1"/>
      <c r="V751" s="1"/>
      <c r="AB751" s="1"/>
      <c r="AH751" s="1"/>
      <c r="AN751" s="1"/>
      <c r="AT751" s="1"/>
      <c r="AZ751" s="4"/>
    </row>
    <row r="752" ht="12.75" customHeight="1">
      <c r="D752" s="1"/>
      <c r="J752" s="1"/>
      <c r="P752" s="1"/>
      <c r="V752" s="1"/>
      <c r="AB752" s="1"/>
      <c r="AH752" s="1"/>
      <c r="AN752" s="1"/>
      <c r="AT752" s="1"/>
      <c r="AZ752" s="4"/>
    </row>
    <row r="753" ht="12.75" customHeight="1">
      <c r="D753" s="1"/>
      <c r="J753" s="1"/>
      <c r="P753" s="1"/>
      <c r="V753" s="1"/>
      <c r="AB753" s="1"/>
      <c r="AH753" s="1"/>
      <c r="AN753" s="1"/>
      <c r="AT753" s="1"/>
      <c r="AZ753" s="4"/>
    </row>
    <row r="754" ht="12.75" customHeight="1">
      <c r="D754" s="1"/>
      <c r="J754" s="1"/>
      <c r="P754" s="1"/>
      <c r="V754" s="1"/>
      <c r="AB754" s="1"/>
      <c r="AH754" s="1"/>
      <c r="AN754" s="1"/>
      <c r="AT754" s="1"/>
      <c r="AZ754" s="4"/>
    </row>
    <row r="755" ht="12.75" customHeight="1">
      <c r="D755" s="1"/>
      <c r="J755" s="1"/>
      <c r="P755" s="1"/>
      <c r="V755" s="1"/>
      <c r="AB755" s="1"/>
      <c r="AH755" s="1"/>
      <c r="AN755" s="1"/>
      <c r="AT755" s="1"/>
      <c r="AZ755" s="4"/>
    </row>
    <row r="756" ht="12.75" customHeight="1">
      <c r="D756" s="1"/>
      <c r="J756" s="1"/>
      <c r="P756" s="1"/>
      <c r="V756" s="1"/>
      <c r="AB756" s="1"/>
      <c r="AH756" s="1"/>
      <c r="AN756" s="1"/>
      <c r="AT756" s="1"/>
      <c r="AZ756" s="4"/>
    </row>
    <row r="757" ht="12.75" customHeight="1">
      <c r="D757" s="1"/>
      <c r="J757" s="1"/>
      <c r="P757" s="1"/>
      <c r="V757" s="1"/>
      <c r="AB757" s="1"/>
      <c r="AH757" s="1"/>
      <c r="AN757" s="1"/>
      <c r="AT757" s="1"/>
      <c r="AZ757" s="4"/>
    </row>
    <row r="758" ht="12.75" customHeight="1">
      <c r="D758" s="1"/>
      <c r="J758" s="1"/>
      <c r="P758" s="1"/>
      <c r="V758" s="1"/>
      <c r="AB758" s="1"/>
      <c r="AH758" s="1"/>
      <c r="AN758" s="1"/>
      <c r="AT758" s="1"/>
      <c r="AZ758" s="4"/>
    </row>
    <row r="759" ht="12.75" customHeight="1">
      <c r="D759" s="1"/>
      <c r="J759" s="1"/>
      <c r="P759" s="1"/>
      <c r="V759" s="1"/>
      <c r="AB759" s="1"/>
      <c r="AH759" s="1"/>
      <c r="AN759" s="1"/>
      <c r="AT759" s="1"/>
      <c r="AZ759" s="4"/>
    </row>
    <row r="760" ht="12.75" customHeight="1">
      <c r="D760" s="1"/>
      <c r="J760" s="1"/>
      <c r="P760" s="1"/>
      <c r="V760" s="1"/>
      <c r="AB760" s="1"/>
      <c r="AH760" s="1"/>
      <c r="AN760" s="1"/>
      <c r="AT760" s="1"/>
      <c r="AZ760" s="4"/>
    </row>
    <row r="761" ht="12.75" customHeight="1">
      <c r="D761" s="1"/>
      <c r="J761" s="1"/>
      <c r="P761" s="1"/>
      <c r="V761" s="1"/>
      <c r="AB761" s="1"/>
      <c r="AH761" s="1"/>
      <c r="AN761" s="1"/>
      <c r="AT761" s="1"/>
      <c r="AZ761" s="4"/>
    </row>
    <row r="762" ht="12.75" customHeight="1">
      <c r="D762" s="1"/>
      <c r="J762" s="1"/>
      <c r="P762" s="1"/>
      <c r="V762" s="1"/>
      <c r="AB762" s="1"/>
      <c r="AH762" s="1"/>
      <c r="AN762" s="1"/>
      <c r="AT762" s="1"/>
      <c r="AZ762" s="4"/>
    </row>
    <row r="763" ht="12.75" customHeight="1">
      <c r="D763" s="1"/>
      <c r="J763" s="1"/>
      <c r="P763" s="1"/>
      <c r="V763" s="1"/>
      <c r="AB763" s="1"/>
      <c r="AH763" s="1"/>
      <c r="AN763" s="1"/>
      <c r="AT763" s="1"/>
      <c r="AZ763" s="4"/>
    </row>
    <row r="764" ht="12.75" customHeight="1">
      <c r="D764" s="1"/>
      <c r="J764" s="1"/>
      <c r="P764" s="1"/>
      <c r="V764" s="1"/>
      <c r="AB764" s="1"/>
      <c r="AH764" s="1"/>
      <c r="AN764" s="1"/>
      <c r="AT764" s="1"/>
      <c r="AZ764" s="4"/>
    </row>
    <row r="765" ht="12.75" customHeight="1">
      <c r="D765" s="1"/>
      <c r="J765" s="1"/>
      <c r="P765" s="1"/>
      <c r="V765" s="1"/>
      <c r="AB765" s="1"/>
      <c r="AH765" s="1"/>
      <c r="AN765" s="1"/>
      <c r="AT765" s="1"/>
      <c r="AZ765" s="4"/>
    </row>
    <row r="766" ht="12.75" customHeight="1">
      <c r="D766" s="1"/>
      <c r="J766" s="1"/>
      <c r="P766" s="1"/>
      <c r="V766" s="1"/>
      <c r="AB766" s="1"/>
      <c r="AH766" s="1"/>
      <c r="AN766" s="1"/>
      <c r="AT766" s="1"/>
      <c r="AZ766" s="4"/>
    </row>
    <row r="767" ht="12.75" customHeight="1">
      <c r="D767" s="1"/>
      <c r="J767" s="1"/>
      <c r="P767" s="1"/>
      <c r="V767" s="1"/>
      <c r="AB767" s="1"/>
      <c r="AH767" s="1"/>
      <c r="AN767" s="1"/>
      <c r="AT767" s="1"/>
      <c r="AZ767" s="4"/>
    </row>
    <row r="768" ht="12.75" customHeight="1">
      <c r="D768" s="1"/>
      <c r="J768" s="1"/>
      <c r="P768" s="1"/>
      <c r="V768" s="1"/>
      <c r="AB768" s="1"/>
      <c r="AH768" s="1"/>
      <c r="AN768" s="1"/>
      <c r="AT768" s="1"/>
      <c r="AZ768" s="4"/>
    </row>
    <row r="769" ht="12.75" customHeight="1">
      <c r="D769" s="1"/>
      <c r="J769" s="1"/>
      <c r="P769" s="1"/>
      <c r="V769" s="1"/>
      <c r="AB769" s="1"/>
      <c r="AH769" s="1"/>
      <c r="AN769" s="1"/>
      <c r="AT769" s="1"/>
      <c r="AZ769" s="4"/>
    </row>
    <row r="770" ht="12.75" customHeight="1">
      <c r="D770" s="1"/>
      <c r="J770" s="1"/>
      <c r="P770" s="1"/>
      <c r="V770" s="1"/>
      <c r="AB770" s="1"/>
      <c r="AH770" s="1"/>
      <c r="AN770" s="1"/>
      <c r="AT770" s="1"/>
      <c r="AZ770" s="4"/>
    </row>
    <row r="771" ht="12.75" customHeight="1">
      <c r="D771" s="1"/>
      <c r="J771" s="1"/>
      <c r="P771" s="1"/>
      <c r="V771" s="1"/>
      <c r="AB771" s="1"/>
      <c r="AH771" s="1"/>
      <c r="AN771" s="1"/>
      <c r="AT771" s="1"/>
      <c r="AZ771" s="4"/>
    </row>
    <row r="772" ht="12.75" customHeight="1">
      <c r="D772" s="1"/>
      <c r="J772" s="1"/>
      <c r="P772" s="1"/>
      <c r="V772" s="1"/>
      <c r="AB772" s="1"/>
      <c r="AH772" s="1"/>
      <c r="AN772" s="1"/>
      <c r="AT772" s="1"/>
      <c r="AZ772" s="4"/>
    </row>
    <row r="773" ht="12.75" customHeight="1">
      <c r="D773" s="1"/>
      <c r="J773" s="1"/>
      <c r="P773" s="1"/>
      <c r="V773" s="1"/>
      <c r="AB773" s="1"/>
      <c r="AH773" s="1"/>
      <c r="AN773" s="1"/>
      <c r="AT773" s="1"/>
      <c r="AZ773" s="4"/>
    </row>
    <row r="774" ht="12.75" customHeight="1">
      <c r="D774" s="1"/>
      <c r="J774" s="1"/>
      <c r="P774" s="1"/>
      <c r="V774" s="1"/>
      <c r="AB774" s="1"/>
      <c r="AH774" s="1"/>
      <c r="AN774" s="1"/>
      <c r="AT774" s="1"/>
      <c r="AZ774" s="4"/>
    </row>
    <row r="775" ht="12.75" customHeight="1">
      <c r="D775" s="1"/>
      <c r="J775" s="1"/>
      <c r="P775" s="1"/>
      <c r="V775" s="1"/>
      <c r="AB775" s="1"/>
      <c r="AH775" s="1"/>
      <c r="AN775" s="1"/>
      <c r="AT775" s="1"/>
      <c r="AZ775" s="4"/>
    </row>
    <row r="776" ht="12.75" customHeight="1">
      <c r="D776" s="1"/>
      <c r="J776" s="1"/>
      <c r="P776" s="1"/>
      <c r="V776" s="1"/>
      <c r="AB776" s="1"/>
      <c r="AH776" s="1"/>
      <c r="AN776" s="1"/>
      <c r="AT776" s="1"/>
      <c r="AZ776" s="4"/>
    </row>
    <row r="777" ht="12.75" customHeight="1">
      <c r="D777" s="1"/>
      <c r="J777" s="1"/>
      <c r="P777" s="1"/>
      <c r="V777" s="1"/>
      <c r="AB777" s="1"/>
      <c r="AH777" s="1"/>
      <c r="AN777" s="1"/>
      <c r="AT777" s="1"/>
      <c r="AZ777" s="4"/>
    </row>
    <row r="778" ht="12.75" customHeight="1">
      <c r="D778" s="1"/>
      <c r="J778" s="1"/>
      <c r="P778" s="1"/>
      <c r="V778" s="1"/>
      <c r="AB778" s="1"/>
      <c r="AH778" s="1"/>
      <c r="AN778" s="1"/>
      <c r="AT778" s="1"/>
      <c r="AZ778" s="4"/>
    </row>
    <row r="779" ht="12.75" customHeight="1">
      <c r="D779" s="1"/>
      <c r="J779" s="1"/>
      <c r="P779" s="1"/>
      <c r="V779" s="1"/>
      <c r="AB779" s="1"/>
      <c r="AH779" s="1"/>
      <c r="AN779" s="1"/>
      <c r="AT779" s="1"/>
      <c r="AZ779" s="4"/>
    </row>
    <row r="780" ht="12.75" customHeight="1">
      <c r="D780" s="1"/>
      <c r="J780" s="1"/>
      <c r="P780" s="1"/>
      <c r="V780" s="1"/>
      <c r="AB780" s="1"/>
      <c r="AH780" s="1"/>
      <c r="AN780" s="1"/>
      <c r="AT780" s="1"/>
      <c r="AZ780" s="4"/>
    </row>
    <row r="781" ht="12.75" customHeight="1">
      <c r="D781" s="1"/>
      <c r="J781" s="1"/>
      <c r="P781" s="1"/>
      <c r="V781" s="1"/>
      <c r="AB781" s="1"/>
      <c r="AH781" s="1"/>
      <c r="AN781" s="1"/>
      <c r="AT781" s="1"/>
      <c r="AZ781" s="4"/>
    </row>
    <row r="782" ht="12.75" customHeight="1">
      <c r="D782" s="1"/>
      <c r="J782" s="1"/>
      <c r="P782" s="1"/>
      <c r="V782" s="1"/>
      <c r="AB782" s="1"/>
      <c r="AH782" s="1"/>
      <c r="AN782" s="1"/>
      <c r="AT782" s="1"/>
      <c r="AZ782" s="4"/>
    </row>
    <row r="783" ht="12.75" customHeight="1">
      <c r="D783" s="1"/>
      <c r="J783" s="1"/>
      <c r="P783" s="1"/>
      <c r="V783" s="1"/>
      <c r="AB783" s="1"/>
      <c r="AH783" s="1"/>
      <c r="AN783" s="1"/>
      <c r="AT783" s="1"/>
      <c r="AZ783" s="4"/>
    </row>
    <row r="784" ht="12.75" customHeight="1">
      <c r="D784" s="1"/>
      <c r="J784" s="1"/>
      <c r="P784" s="1"/>
      <c r="V784" s="1"/>
      <c r="AB784" s="1"/>
      <c r="AH784" s="1"/>
      <c r="AN784" s="1"/>
      <c r="AT784" s="1"/>
      <c r="AZ784" s="4"/>
    </row>
    <row r="785" ht="12.75" customHeight="1">
      <c r="D785" s="1"/>
      <c r="J785" s="1"/>
      <c r="P785" s="1"/>
      <c r="V785" s="1"/>
      <c r="AB785" s="1"/>
      <c r="AH785" s="1"/>
      <c r="AN785" s="1"/>
      <c r="AT785" s="1"/>
      <c r="AZ785" s="4"/>
    </row>
    <row r="786" ht="12.75" customHeight="1">
      <c r="D786" s="1"/>
      <c r="J786" s="1"/>
      <c r="P786" s="1"/>
      <c r="V786" s="1"/>
      <c r="AB786" s="1"/>
      <c r="AH786" s="1"/>
      <c r="AN786" s="1"/>
      <c r="AT786" s="1"/>
      <c r="AZ786" s="4"/>
    </row>
    <row r="787" ht="12.75" customHeight="1">
      <c r="D787" s="1"/>
      <c r="J787" s="1"/>
      <c r="P787" s="1"/>
      <c r="V787" s="1"/>
      <c r="AB787" s="1"/>
      <c r="AH787" s="1"/>
      <c r="AN787" s="1"/>
      <c r="AT787" s="1"/>
      <c r="AZ787" s="4"/>
    </row>
    <row r="788" ht="12.75" customHeight="1">
      <c r="D788" s="1"/>
      <c r="J788" s="1"/>
      <c r="P788" s="1"/>
      <c r="V788" s="1"/>
      <c r="AB788" s="1"/>
      <c r="AH788" s="1"/>
      <c r="AN788" s="1"/>
      <c r="AT788" s="1"/>
      <c r="AZ788" s="4"/>
    </row>
    <row r="789" ht="12.75" customHeight="1">
      <c r="D789" s="1"/>
      <c r="J789" s="1"/>
      <c r="P789" s="1"/>
      <c r="V789" s="1"/>
      <c r="AB789" s="1"/>
      <c r="AH789" s="1"/>
      <c r="AN789" s="1"/>
      <c r="AT789" s="1"/>
      <c r="AZ789" s="4"/>
    </row>
    <row r="790" ht="12.75" customHeight="1">
      <c r="D790" s="1"/>
      <c r="J790" s="1"/>
      <c r="P790" s="1"/>
      <c r="V790" s="1"/>
      <c r="AB790" s="1"/>
      <c r="AH790" s="1"/>
      <c r="AN790" s="1"/>
      <c r="AT790" s="1"/>
      <c r="AZ790" s="4"/>
    </row>
    <row r="791" ht="12.75" customHeight="1">
      <c r="D791" s="1"/>
      <c r="J791" s="1"/>
      <c r="P791" s="1"/>
      <c r="V791" s="1"/>
      <c r="AB791" s="1"/>
      <c r="AH791" s="1"/>
      <c r="AN791" s="1"/>
      <c r="AT791" s="1"/>
      <c r="AZ791" s="4"/>
    </row>
    <row r="792" ht="12.75" customHeight="1">
      <c r="D792" s="1"/>
      <c r="J792" s="1"/>
      <c r="P792" s="1"/>
      <c r="V792" s="1"/>
      <c r="AB792" s="1"/>
      <c r="AH792" s="1"/>
      <c r="AN792" s="1"/>
      <c r="AT792" s="1"/>
      <c r="AZ792" s="4"/>
    </row>
    <row r="793" ht="12.75" customHeight="1">
      <c r="D793" s="1"/>
      <c r="J793" s="1"/>
      <c r="P793" s="1"/>
      <c r="V793" s="1"/>
      <c r="AB793" s="1"/>
      <c r="AH793" s="1"/>
      <c r="AN793" s="1"/>
      <c r="AT793" s="1"/>
      <c r="AZ793" s="4"/>
    </row>
    <row r="794" ht="12.75" customHeight="1">
      <c r="D794" s="1"/>
      <c r="J794" s="1"/>
      <c r="P794" s="1"/>
      <c r="V794" s="1"/>
      <c r="AB794" s="1"/>
      <c r="AH794" s="1"/>
      <c r="AN794" s="1"/>
      <c r="AT794" s="1"/>
      <c r="AZ794" s="4"/>
    </row>
    <row r="795" ht="12.75" customHeight="1">
      <c r="D795" s="1"/>
      <c r="J795" s="1"/>
      <c r="P795" s="1"/>
      <c r="V795" s="1"/>
      <c r="AB795" s="1"/>
      <c r="AH795" s="1"/>
      <c r="AN795" s="1"/>
      <c r="AT795" s="1"/>
      <c r="AZ795" s="4"/>
    </row>
    <row r="796" ht="12.75" customHeight="1">
      <c r="D796" s="1"/>
      <c r="J796" s="1"/>
      <c r="P796" s="1"/>
      <c r="V796" s="1"/>
      <c r="AB796" s="1"/>
      <c r="AH796" s="1"/>
      <c r="AN796" s="1"/>
      <c r="AT796" s="1"/>
      <c r="AZ796" s="4"/>
    </row>
    <row r="797" ht="12.75" customHeight="1">
      <c r="D797" s="1"/>
      <c r="J797" s="1"/>
      <c r="P797" s="1"/>
      <c r="V797" s="1"/>
      <c r="AB797" s="1"/>
      <c r="AH797" s="1"/>
      <c r="AN797" s="1"/>
      <c r="AT797" s="1"/>
      <c r="AZ797" s="4"/>
    </row>
    <row r="798" ht="12.75" customHeight="1">
      <c r="D798" s="1"/>
      <c r="J798" s="1"/>
      <c r="P798" s="1"/>
      <c r="V798" s="1"/>
      <c r="AB798" s="1"/>
      <c r="AH798" s="1"/>
      <c r="AN798" s="1"/>
      <c r="AT798" s="1"/>
      <c r="AZ798" s="4"/>
    </row>
    <row r="799" ht="12.75" customHeight="1">
      <c r="D799" s="1"/>
      <c r="J799" s="1"/>
      <c r="P799" s="1"/>
      <c r="V799" s="1"/>
      <c r="AB799" s="1"/>
      <c r="AH799" s="1"/>
      <c r="AN799" s="1"/>
      <c r="AT799" s="1"/>
      <c r="AZ799" s="4"/>
    </row>
    <row r="800" ht="12.75" customHeight="1">
      <c r="D800" s="1"/>
      <c r="J800" s="1"/>
      <c r="P800" s="1"/>
      <c r="V800" s="1"/>
      <c r="AB800" s="1"/>
      <c r="AH800" s="1"/>
      <c r="AN800" s="1"/>
      <c r="AT800" s="1"/>
      <c r="AZ800" s="4"/>
    </row>
    <row r="801" ht="12.75" customHeight="1">
      <c r="D801" s="1"/>
      <c r="J801" s="1"/>
      <c r="P801" s="1"/>
      <c r="V801" s="1"/>
      <c r="AB801" s="1"/>
      <c r="AH801" s="1"/>
      <c r="AN801" s="1"/>
      <c r="AT801" s="1"/>
      <c r="AZ801" s="4"/>
    </row>
    <row r="802" ht="12.75" customHeight="1">
      <c r="D802" s="1"/>
      <c r="J802" s="1"/>
      <c r="P802" s="1"/>
      <c r="V802" s="1"/>
      <c r="AB802" s="1"/>
      <c r="AH802" s="1"/>
      <c r="AN802" s="1"/>
      <c r="AT802" s="1"/>
      <c r="AZ802" s="4"/>
    </row>
    <row r="803" ht="12.75" customHeight="1">
      <c r="D803" s="1"/>
      <c r="J803" s="1"/>
      <c r="P803" s="1"/>
      <c r="V803" s="1"/>
      <c r="AB803" s="1"/>
      <c r="AH803" s="1"/>
      <c r="AN803" s="1"/>
      <c r="AT803" s="1"/>
      <c r="AZ803" s="4"/>
    </row>
    <row r="804" ht="12.75" customHeight="1">
      <c r="D804" s="1"/>
      <c r="J804" s="1"/>
      <c r="P804" s="1"/>
      <c r="V804" s="1"/>
      <c r="AB804" s="1"/>
      <c r="AH804" s="1"/>
      <c r="AN804" s="1"/>
      <c r="AT804" s="1"/>
      <c r="AZ804" s="4"/>
    </row>
    <row r="805" ht="12.75" customHeight="1">
      <c r="D805" s="1"/>
      <c r="J805" s="1"/>
      <c r="P805" s="1"/>
      <c r="V805" s="1"/>
      <c r="AB805" s="1"/>
      <c r="AH805" s="1"/>
      <c r="AN805" s="1"/>
      <c r="AT805" s="1"/>
      <c r="AZ805" s="4"/>
    </row>
    <row r="806" ht="12.75" customHeight="1">
      <c r="D806" s="1"/>
      <c r="J806" s="1"/>
      <c r="P806" s="1"/>
      <c r="V806" s="1"/>
      <c r="AB806" s="1"/>
      <c r="AH806" s="1"/>
      <c r="AN806" s="1"/>
      <c r="AT806" s="1"/>
      <c r="AZ806" s="4"/>
    </row>
    <row r="807" ht="12.75" customHeight="1">
      <c r="D807" s="1"/>
      <c r="J807" s="1"/>
      <c r="P807" s="1"/>
      <c r="V807" s="1"/>
      <c r="AB807" s="1"/>
      <c r="AH807" s="1"/>
      <c r="AN807" s="1"/>
      <c r="AT807" s="1"/>
      <c r="AZ807" s="4"/>
    </row>
    <row r="808" ht="12.75" customHeight="1">
      <c r="D808" s="1"/>
      <c r="J808" s="1"/>
      <c r="P808" s="1"/>
      <c r="V808" s="1"/>
      <c r="AB808" s="1"/>
      <c r="AH808" s="1"/>
      <c r="AN808" s="1"/>
      <c r="AT808" s="1"/>
      <c r="AZ808" s="4"/>
    </row>
    <row r="809" ht="12.75" customHeight="1">
      <c r="D809" s="1"/>
      <c r="J809" s="1"/>
      <c r="P809" s="1"/>
      <c r="V809" s="1"/>
      <c r="AB809" s="1"/>
      <c r="AH809" s="1"/>
      <c r="AN809" s="1"/>
      <c r="AT809" s="1"/>
      <c r="AZ809" s="4"/>
    </row>
    <row r="810" ht="12.75" customHeight="1">
      <c r="D810" s="1"/>
      <c r="J810" s="1"/>
      <c r="P810" s="1"/>
      <c r="V810" s="1"/>
      <c r="AB810" s="1"/>
      <c r="AH810" s="1"/>
      <c r="AN810" s="1"/>
      <c r="AT810" s="1"/>
      <c r="AZ810" s="4"/>
    </row>
    <row r="811" ht="12.75" customHeight="1">
      <c r="D811" s="1"/>
      <c r="J811" s="1"/>
      <c r="P811" s="1"/>
      <c r="V811" s="1"/>
      <c r="AB811" s="1"/>
      <c r="AH811" s="1"/>
      <c r="AN811" s="1"/>
      <c r="AT811" s="1"/>
      <c r="AZ811" s="4"/>
    </row>
    <row r="812" ht="12.75" customHeight="1">
      <c r="D812" s="1"/>
      <c r="J812" s="1"/>
      <c r="P812" s="1"/>
      <c r="V812" s="1"/>
      <c r="AB812" s="1"/>
      <c r="AH812" s="1"/>
      <c r="AN812" s="1"/>
      <c r="AT812" s="1"/>
      <c r="AZ812" s="4"/>
    </row>
    <row r="813" ht="12.75" customHeight="1">
      <c r="D813" s="1"/>
      <c r="J813" s="1"/>
      <c r="P813" s="1"/>
      <c r="V813" s="1"/>
      <c r="AB813" s="1"/>
      <c r="AH813" s="1"/>
      <c r="AN813" s="1"/>
      <c r="AT813" s="1"/>
      <c r="AZ813" s="4"/>
    </row>
    <row r="814" ht="12.75" customHeight="1">
      <c r="D814" s="1"/>
      <c r="J814" s="1"/>
      <c r="P814" s="1"/>
      <c r="V814" s="1"/>
      <c r="AB814" s="1"/>
      <c r="AH814" s="1"/>
      <c r="AN814" s="1"/>
      <c r="AT814" s="1"/>
      <c r="AZ814" s="4"/>
    </row>
    <row r="815" ht="12.75" customHeight="1">
      <c r="D815" s="1"/>
      <c r="J815" s="1"/>
      <c r="P815" s="1"/>
      <c r="V815" s="1"/>
      <c r="AB815" s="1"/>
      <c r="AH815" s="1"/>
      <c r="AN815" s="1"/>
      <c r="AT815" s="1"/>
      <c r="AZ815" s="4"/>
    </row>
    <row r="816" ht="12.75" customHeight="1">
      <c r="D816" s="1"/>
      <c r="J816" s="1"/>
      <c r="P816" s="1"/>
      <c r="V816" s="1"/>
      <c r="AB816" s="1"/>
      <c r="AH816" s="1"/>
      <c r="AN816" s="1"/>
      <c r="AT816" s="1"/>
      <c r="AZ816" s="4"/>
    </row>
    <row r="817" ht="12.75" customHeight="1">
      <c r="D817" s="1"/>
      <c r="J817" s="1"/>
      <c r="P817" s="1"/>
      <c r="V817" s="1"/>
      <c r="AB817" s="1"/>
      <c r="AH817" s="1"/>
      <c r="AN817" s="1"/>
      <c r="AT817" s="1"/>
      <c r="AZ817" s="4"/>
    </row>
    <row r="818" ht="12.75" customHeight="1">
      <c r="D818" s="1"/>
      <c r="J818" s="1"/>
      <c r="P818" s="1"/>
      <c r="V818" s="1"/>
      <c r="AB818" s="1"/>
      <c r="AH818" s="1"/>
      <c r="AN818" s="1"/>
      <c r="AT818" s="1"/>
      <c r="AZ818" s="4"/>
    </row>
    <row r="819" ht="12.75" customHeight="1">
      <c r="D819" s="1"/>
      <c r="J819" s="1"/>
      <c r="P819" s="1"/>
      <c r="V819" s="1"/>
      <c r="AB819" s="1"/>
      <c r="AH819" s="1"/>
      <c r="AN819" s="1"/>
      <c r="AT819" s="1"/>
      <c r="AZ819" s="4"/>
    </row>
    <row r="820" ht="12.75" customHeight="1">
      <c r="D820" s="1"/>
      <c r="J820" s="1"/>
      <c r="P820" s="1"/>
      <c r="V820" s="1"/>
      <c r="AB820" s="1"/>
      <c r="AH820" s="1"/>
      <c r="AN820" s="1"/>
      <c r="AT820" s="1"/>
      <c r="AZ820" s="4"/>
    </row>
    <row r="821" ht="12.75" customHeight="1">
      <c r="D821" s="1"/>
      <c r="J821" s="1"/>
      <c r="P821" s="1"/>
      <c r="V821" s="1"/>
      <c r="AB821" s="1"/>
      <c r="AH821" s="1"/>
      <c r="AN821" s="1"/>
      <c r="AT821" s="1"/>
      <c r="AZ821" s="4"/>
    </row>
    <row r="822" ht="12.75" customHeight="1">
      <c r="D822" s="1"/>
      <c r="J822" s="1"/>
      <c r="P822" s="1"/>
      <c r="V822" s="1"/>
      <c r="AB822" s="1"/>
      <c r="AH822" s="1"/>
      <c r="AN822" s="1"/>
      <c r="AT822" s="1"/>
      <c r="AZ822" s="4"/>
    </row>
    <row r="823" ht="12.75" customHeight="1">
      <c r="D823" s="1"/>
      <c r="J823" s="1"/>
      <c r="P823" s="1"/>
      <c r="V823" s="1"/>
      <c r="AB823" s="1"/>
      <c r="AH823" s="1"/>
      <c r="AN823" s="1"/>
      <c r="AT823" s="1"/>
      <c r="AZ823" s="4"/>
    </row>
    <row r="824" ht="12.75" customHeight="1">
      <c r="D824" s="1"/>
      <c r="J824" s="1"/>
      <c r="P824" s="1"/>
      <c r="V824" s="1"/>
      <c r="AB824" s="1"/>
      <c r="AH824" s="1"/>
      <c r="AN824" s="1"/>
      <c r="AT824" s="1"/>
      <c r="AZ824" s="4"/>
    </row>
    <row r="825" ht="12.75" customHeight="1">
      <c r="D825" s="1"/>
      <c r="J825" s="1"/>
      <c r="P825" s="1"/>
      <c r="V825" s="1"/>
      <c r="AB825" s="1"/>
      <c r="AH825" s="1"/>
      <c r="AN825" s="1"/>
      <c r="AT825" s="1"/>
      <c r="AZ825" s="4"/>
    </row>
    <row r="826" ht="12.75" customHeight="1">
      <c r="D826" s="1"/>
      <c r="J826" s="1"/>
      <c r="P826" s="1"/>
      <c r="V826" s="1"/>
      <c r="AB826" s="1"/>
      <c r="AH826" s="1"/>
      <c r="AN826" s="1"/>
      <c r="AT826" s="1"/>
      <c r="AZ826" s="4"/>
    </row>
    <row r="827" ht="12.75" customHeight="1">
      <c r="D827" s="1"/>
      <c r="J827" s="1"/>
      <c r="P827" s="1"/>
      <c r="V827" s="1"/>
      <c r="AB827" s="1"/>
      <c r="AH827" s="1"/>
      <c r="AN827" s="1"/>
      <c r="AT827" s="1"/>
      <c r="AZ827" s="4"/>
    </row>
    <row r="828" ht="12.75" customHeight="1">
      <c r="D828" s="1"/>
      <c r="J828" s="1"/>
      <c r="P828" s="1"/>
      <c r="V828" s="1"/>
      <c r="AB828" s="1"/>
      <c r="AH828" s="1"/>
      <c r="AN828" s="1"/>
      <c r="AT828" s="1"/>
      <c r="AZ828" s="4"/>
    </row>
    <row r="829" ht="12.75" customHeight="1">
      <c r="D829" s="1"/>
      <c r="J829" s="1"/>
      <c r="P829" s="1"/>
      <c r="V829" s="1"/>
      <c r="AB829" s="1"/>
      <c r="AH829" s="1"/>
      <c r="AN829" s="1"/>
      <c r="AT829" s="1"/>
      <c r="AZ829" s="4"/>
    </row>
    <row r="830" ht="12.75" customHeight="1">
      <c r="D830" s="1"/>
      <c r="J830" s="1"/>
      <c r="P830" s="1"/>
      <c r="V830" s="1"/>
      <c r="AB830" s="1"/>
      <c r="AH830" s="1"/>
      <c r="AN830" s="1"/>
      <c r="AT830" s="1"/>
      <c r="AZ830" s="4"/>
    </row>
    <row r="831" ht="12.75" customHeight="1">
      <c r="D831" s="1"/>
      <c r="J831" s="1"/>
      <c r="P831" s="1"/>
      <c r="V831" s="1"/>
      <c r="AB831" s="1"/>
      <c r="AH831" s="1"/>
      <c r="AN831" s="1"/>
      <c r="AT831" s="1"/>
      <c r="AZ831" s="4"/>
    </row>
    <row r="832" ht="12.75" customHeight="1">
      <c r="D832" s="1"/>
      <c r="J832" s="1"/>
      <c r="P832" s="1"/>
      <c r="V832" s="1"/>
      <c r="AB832" s="1"/>
      <c r="AH832" s="1"/>
      <c r="AN832" s="1"/>
      <c r="AT832" s="1"/>
      <c r="AZ832" s="4"/>
    </row>
    <row r="833" ht="12.75" customHeight="1">
      <c r="D833" s="1"/>
      <c r="J833" s="1"/>
      <c r="P833" s="1"/>
      <c r="V833" s="1"/>
      <c r="AB833" s="1"/>
      <c r="AH833" s="1"/>
      <c r="AN833" s="1"/>
      <c r="AT833" s="1"/>
      <c r="AZ833" s="4"/>
    </row>
    <row r="834" ht="12.75" customHeight="1">
      <c r="D834" s="1"/>
      <c r="J834" s="1"/>
      <c r="P834" s="1"/>
      <c r="V834" s="1"/>
      <c r="AB834" s="1"/>
      <c r="AH834" s="1"/>
      <c r="AN834" s="1"/>
      <c r="AT834" s="1"/>
      <c r="AZ834" s="4"/>
    </row>
    <row r="835" ht="12.75" customHeight="1">
      <c r="D835" s="1"/>
      <c r="J835" s="1"/>
      <c r="P835" s="1"/>
      <c r="V835" s="1"/>
      <c r="AB835" s="1"/>
      <c r="AH835" s="1"/>
      <c r="AN835" s="1"/>
      <c r="AT835" s="1"/>
      <c r="AZ835" s="4"/>
    </row>
    <row r="836" ht="12.75" customHeight="1">
      <c r="D836" s="1"/>
      <c r="J836" s="1"/>
      <c r="P836" s="1"/>
      <c r="V836" s="1"/>
      <c r="AB836" s="1"/>
      <c r="AH836" s="1"/>
      <c r="AN836" s="1"/>
      <c r="AT836" s="1"/>
      <c r="AZ836" s="4"/>
    </row>
    <row r="837" ht="12.75" customHeight="1">
      <c r="D837" s="1"/>
      <c r="J837" s="1"/>
      <c r="P837" s="1"/>
      <c r="V837" s="1"/>
      <c r="AB837" s="1"/>
      <c r="AH837" s="1"/>
      <c r="AN837" s="1"/>
      <c r="AT837" s="1"/>
      <c r="AZ837" s="4"/>
    </row>
    <row r="838" ht="12.75" customHeight="1">
      <c r="D838" s="1"/>
      <c r="J838" s="1"/>
      <c r="P838" s="1"/>
      <c r="V838" s="1"/>
      <c r="AB838" s="1"/>
      <c r="AH838" s="1"/>
      <c r="AN838" s="1"/>
      <c r="AT838" s="1"/>
      <c r="AZ838" s="4"/>
    </row>
    <row r="839" ht="12.75" customHeight="1">
      <c r="D839" s="1"/>
      <c r="J839" s="1"/>
      <c r="P839" s="1"/>
      <c r="V839" s="1"/>
      <c r="AB839" s="1"/>
      <c r="AH839" s="1"/>
      <c r="AN839" s="1"/>
      <c r="AT839" s="1"/>
      <c r="AZ839" s="4"/>
    </row>
    <row r="840" ht="12.75" customHeight="1">
      <c r="D840" s="1"/>
      <c r="J840" s="1"/>
      <c r="P840" s="1"/>
      <c r="V840" s="1"/>
      <c r="AB840" s="1"/>
      <c r="AH840" s="1"/>
      <c r="AN840" s="1"/>
      <c r="AT840" s="1"/>
      <c r="AZ840" s="4"/>
    </row>
    <row r="841" ht="12.75" customHeight="1">
      <c r="D841" s="1"/>
      <c r="J841" s="1"/>
      <c r="P841" s="1"/>
      <c r="V841" s="1"/>
      <c r="AB841" s="1"/>
      <c r="AH841" s="1"/>
      <c r="AN841" s="1"/>
      <c r="AT841" s="1"/>
      <c r="AZ841" s="4"/>
    </row>
    <row r="842" ht="12.75" customHeight="1">
      <c r="D842" s="1"/>
      <c r="J842" s="1"/>
      <c r="P842" s="1"/>
      <c r="V842" s="1"/>
      <c r="AB842" s="1"/>
      <c r="AH842" s="1"/>
      <c r="AN842" s="1"/>
      <c r="AT842" s="1"/>
      <c r="AZ842" s="4"/>
    </row>
    <row r="843" ht="12.75" customHeight="1">
      <c r="D843" s="1"/>
      <c r="J843" s="1"/>
      <c r="P843" s="1"/>
      <c r="V843" s="1"/>
      <c r="AB843" s="1"/>
      <c r="AH843" s="1"/>
      <c r="AN843" s="1"/>
      <c r="AT843" s="1"/>
      <c r="AZ843" s="4"/>
    </row>
    <row r="844" ht="12.75" customHeight="1">
      <c r="D844" s="1"/>
      <c r="J844" s="1"/>
      <c r="P844" s="1"/>
      <c r="V844" s="1"/>
      <c r="AB844" s="1"/>
      <c r="AH844" s="1"/>
      <c r="AN844" s="1"/>
      <c r="AT844" s="1"/>
      <c r="AZ844" s="4"/>
    </row>
    <row r="845" ht="12.75" customHeight="1">
      <c r="D845" s="1"/>
      <c r="J845" s="1"/>
      <c r="P845" s="1"/>
      <c r="V845" s="1"/>
      <c r="AB845" s="1"/>
      <c r="AH845" s="1"/>
      <c r="AN845" s="1"/>
      <c r="AT845" s="1"/>
      <c r="AZ845" s="4"/>
    </row>
    <row r="846" ht="12.75" customHeight="1">
      <c r="D846" s="1"/>
      <c r="J846" s="1"/>
      <c r="P846" s="1"/>
      <c r="V846" s="1"/>
      <c r="AB846" s="1"/>
      <c r="AH846" s="1"/>
      <c r="AN846" s="1"/>
      <c r="AT846" s="1"/>
      <c r="AZ846" s="4"/>
    </row>
    <row r="847" ht="12.75" customHeight="1">
      <c r="D847" s="1"/>
      <c r="J847" s="1"/>
      <c r="P847" s="1"/>
      <c r="V847" s="1"/>
      <c r="AB847" s="1"/>
      <c r="AH847" s="1"/>
      <c r="AN847" s="1"/>
      <c r="AT847" s="1"/>
      <c r="AZ847" s="4"/>
    </row>
    <row r="848" ht="12.75" customHeight="1">
      <c r="D848" s="1"/>
      <c r="J848" s="1"/>
      <c r="P848" s="1"/>
      <c r="V848" s="1"/>
      <c r="AB848" s="1"/>
      <c r="AH848" s="1"/>
      <c r="AN848" s="1"/>
      <c r="AT848" s="1"/>
      <c r="AZ848" s="4"/>
    </row>
    <row r="849" ht="12.75" customHeight="1">
      <c r="D849" s="1"/>
      <c r="J849" s="1"/>
      <c r="P849" s="1"/>
      <c r="V849" s="1"/>
      <c r="AB849" s="1"/>
      <c r="AH849" s="1"/>
      <c r="AN849" s="1"/>
      <c r="AT849" s="1"/>
      <c r="AZ849" s="4"/>
    </row>
    <row r="850" ht="12.75" customHeight="1">
      <c r="D850" s="1"/>
      <c r="J850" s="1"/>
      <c r="P850" s="1"/>
      <c r="V850" s="1"/>
      <c r="AB850" s="1"/>
      <c r="AH850" s="1"/>
      <c r="AN850" s="1"/>
      <c r="AT850" s="1"/>
      <c r="AZ850" s="4"/>
    </row>
    <row r="851" ht="12.75" customHeight="1">
      <c r="D851" s="1"/>
      <c r="J851" s="1"/>
      <c r="P851" s="1"/>
      <c r="V851" s="1"/>
      <c r="AB851" s="1"/>
      <c r="AH851" s="1"/>
      <c r="AN851" s="1"/>
      <c r="AT851" s="1"/>
      <c r="AZ851" s="4"/>
    </row>
    <row r="852" ht="12.75" customHeight="1">
      <c r="D852" s="1"/>
      <c r="J852" s="1"/>
      <c r="P852" s="1"/>
      <c r="V852" s="1"/>
      <c r="AB852" s="1"/>
      <c r="AH852" s="1"/>
      <c r="AN852" s="1"/>
      <c r="AT852" s="1"/>
      <c r="AZ852" s="4"/>
    </row>
    <row r="853" ht="12.75" customHeight="1">
      <c r="D853" s="1"/>
      <c r="J853" s="1"/>
      <c r="P853" s="1"/>
      <c r="V853" s="1"/>
      <c r="AB853" s="1"/>
      <c r="AH853" s="1"/>
      <c r="AN853" s="1"/>
      <c r="AT853" s="1"/>
      <c r="AZ853" s="4"/>
    </row>
    <row r="854" ht="12.75" customHeight="1">
      <c r="D854" s="1"/>
      <c r="J854" s="1"/>
      <c r="P854" s="1"/>
      <c r="V854" s="1"/>
      <c r="AB854" s="1"/>
      <c r="AH854" s="1"/>
      <c r="AN854" s="1"/>
      <c r="AT854" s="1"/>
      <c r="AZ854" s="4"/>
    </row>
    <row r="855" ht="12.75" customHeight="1">
      <c r="D855" s="1"/>
      <c r="J855" s="1"/>
      <c r="P855" s="1"/>
      <c r="V855" s="1"/>
      <c r="AB855" s="1"/>
      <c r="AH855" s="1"/>
      <c r="AN855" s="1"/>
      <c r="AT855" s="1"/>
      <c r="AZ855" s="4"/>
    </row>
    <row r="856" ht="12.75" customHeight="1">
      <c r="D856" s="1"/>
      <c r="J856" s="1"/>
      <c r="P856" s="1"/>
      <c r="V856" s="1"/>
      <c r="AB856" s="1"/>
      <c r="AH856" s="1"/>
      <c r="AN856" s="1"/>
      <c r="AT856" s="1"/>
      <c r="AZ856" s="4"/>
    </row>
    <row r="857" ht="12.75" customHeight="1">
      <c r="D857" s="1"/>
      <c r="J857" s="1"/>
      <c r="P857" s="1"/>
      <c r="V857" s="1"/>
      <c r="AB857" s="1"/>
      <c r="AH857" s="1"/>
      <c r="AN857" s="1"/>
      <c r="AT857" s="1"/>
      <c r="AZ857" s="4"/>
    </row>
    <row r="858" ht="12.75" customHeight="1">
      <c r="D858" s="1"/>
      <c r="J858" s="1"/>
      <c r="P858" s="1"/>
      <c r="V858" s="1"/>
      <c r="AB858" s="1"/>
      <c r="AH858" s="1"/>
      <c r="AN858" s="1"/>
      <c r="AT858" s="1"/>
      <c r="AZ858" s="4"/>
    </row>
    <row r="859" ht="12.75" customHeight="1">
      <c r="D859" s="1"/>
      <c r="J859" s="1"/>
      <c r="P859" s="1"/>
      <c r="V859" s="1"/>
      <c r="AB859" s="1"/>
      <c r="AH859" s="1"/>
      <c r="AN859" s="1"/>
      <c r="AT859" s="1"/>
      <c r="AZ859" s="4"/>
    </row>
    <row r="860" ht="12.75" customHeight="1">
      <c r="D860" s="1"/>
      <c r="J860" s="1"/>
      <c r="P860" s="1"/>
      <c r="V860" s="1"/>
      <c r="AB860" s="1"/>
      <c r="AH860" s="1"/>
      <c r="AN860" s="1"/>
      <c r="AT860" s="1"/>
      <c r="AZ860" s="4"/>
    </row>
    <row r="861" ht="12.75" customHeight="1">
      <c r="D861" s="1"/>
      <c r="J861" s="1"/>
      <c r="P861" s="1"/>
      <c r="V861" s="1"/>
      <c r="AB861" s="1"/>
      <c r="AH861" s="1"/>
      <c r="AN861" s="1"/>
      <c r="AT861" s="1"/>
      <c r="AZ861" s="4"/>
    </row>
    <row r="862" ht="12.75" customHeight="1">
      <c r="D862" s="1"/>
      <c r="J862" s="1"/>
      <c r="P862" s="1"/>
      <c r="V862" s="1"/>
      <c r="AB862" s="1"/>
      <c r="AH862" s="1"/>
      <c r="AN862" s="1"/>
      <c r="AT862" s="1"/>
      <c r="AZ862" s="4"/>
    </row>
    <row r="863" ht="12.75" customHeight="1">
      <c r="D863" s="1"/>
      <c r="J863" s="1"/>
      <c r="P863" s="1"/>
      <c r="V863" s="1"/>
      <c r="AB863" s="1"/>
      <c r="AH863" s="1"/>
      <c r="AN863" s="1"/>
      <c r="AT863" s="1"/>
      <c r="AZ863" s="4"/>
    </row>
    <row r="864" ht="12.75" customHeight="1">
      <c r="D864" s="1"/>
      <c r="J864" s="1"/>
      <c r="P864" s="1"/>
      <c r="V864" s="1"/>
      <c r="AB864" s="1"/>
      <c r="AH864" s="1"/>
      <c r="AN864" s="1"/>
      <c r="AT864" s="1"/>
      <c r="AZ864" s="4"/>
    </row>
    <row r="865" ht="12.75" customHeight="1">
      <c r="D865" s="1"/>
      <c r="J865" s="1"/>
      <c r="P865" s="1"/>
      <c r="V865" s="1"/>
      <c r="AB865" s="1"/>
      <c r="AH865" s="1"/>
      <c r="AN865" s="1"/>
      <c r="AT865" s="1"/>
      <c r="AZ865" s="4"/>
    </row>
    <row r="866" ht="12.75" customHeight="1">
      <c r="D866" s="1"/>
      <c r="J866" s="1"/>
      <c r="P866" s="1"/>
      <c r="V866" s="1"/>
      <c r="AB866" s="1"/>
      <c r="AH866" s="1"/>
      <c r="AN866" s="1"/>
      <c r="AT866" s="1"/>
      <c r="AZ866" s="4"/>
    </row>
    <row r="867" ht="12.75" customHeight="1">
      <c r="D867" s="1"/>
      <c r="J867" s="1"/>
      <c r="P867" s="1"/>
      <c r="V867" s="1"/>
      <c r="AB867" s="1"/>
      <c r="AH867" s="1"/>
      <c r="AN867" s="1"/>
      <c r="AT867" s="1"/>
      <c r="AZ867" s="4"/>
    </row>
    <row r="868" ht="12.75" customHeight="1">
      <c r="D868" s="1"/>
      <c r="J868" s="1"/>
      <c r="P868" s="1"/>
      <c r="V868" s="1"/>
      <c r="AB868" s="1"/>
      <c r="AH868" s="1"/>
      <c r="AN868" s="1"/>
      <c r="AT868" s="1"/>
      <c r="AZ868" s="4"/>
    </row>
    <row r="869" ht="12.75" customHeight="1">
      <c r="D869" s="1"/>
      <c r="J869" s="1"/>
      <c r="P869" s="1"/>
      <c r="V869" s="1"/>
      <c r="AB869" s="1"/>
      <c r="AH869" s="1"/>
      <c r="AN869" s="1"/>
      <c r="AT869" s="1"/>
      <c r="AZ869" s="4"/>
    </row>
    <row r="870" ht="12.75" customHeight="1">
      <c r="D870" s="1"/>
      <c r="J870" s="1"/>
      <c r="P870" s="1"/>
      <c r="V870" s="1"/>
      <c r="AB870" s="1"/>
      <c r="AH870" s="1"/>
      <c r="AN870" s="1"/>
      <c r="AT870" s="1"/>
      <c r="AZ870" s="4"/>
    </row>
    <row r="871" ht="12.75" customHeight="1">
      <c r="D871" s="1"/>
      <c r="J871" s="1"/>
      <c r="P871" s="1"/>
      <c r="V871" s="1"/>
      <c r="AB871" s="1"/>
      <c r="AH871" s="1"/>
      <c r="AN871" s="1"/>
      <c r="AT871" s="1"/>
      <c r="AZ871" s="4"/>
    </row>
    <row r="872" ht="12.75" customHeight="1">
      <c r="D872" s="1"/>
      <c r="J872" s="1"/>
      <c r="P872" s="1"/>
      <c r="V872" s="1"/>
      <c r="AB872" s="1"/>
      <c r="AH872" s="1"/>
      <c r="AN872" s="1"/>
      <c r="AT872" s="1"/>
      <c r="AZ872" s="4"/>
    </row>
    <row r="873" ht="12.75" customHeight="1">
      <c r="D873" s="1"/>
      <c r="J873" s="1"/>
      <c r="P873" s="1"/>
      <c r="V873" s="1"/>
      <c r="AB873" s="1"/>
      <c r="AH873" s="1"/>
      <c r="AN873" s="1"/>
      <c r="AT873" s="1"/>
      <c r="AZ873" s="4"/>
    </row>
    <row r="874" ht="12.75" customHeight="1">
      <c r="D874" s="1"/>
      <c r="J874" s="1"/>
      <c r="P874" s="1"/>
      <c r="V874" s="1"/>
      <c r="AB874" s="1"/>
      <c r="AH874" s="1"/>
      <c r="AN874" s="1"/>
      <c r="AT874" s="1"/>
      <c r="AZ874" s="4"/>
    </row>
    <row r="875" ht="12.75" customHeight="1">
      <c r="D875" s="1"/>
      <c r="J875" s="1"/>
      <c r="P875" s="1"/>
      <c r="V875" s="1"/>
      <c r="AB875" s="1"/>
      <c r="AH875" s="1"/>
      <c r="AN875" s="1"/>
      <c r="AT875" s="1"/>
      <c r="AZ875" s="4"/>
    </row>
    <row r="876" ht="12.75" customHeight="1">
      <c r="D876" s="1"/>
      <c r="J876" s="1"/>
      <c r="P876" s="1"/>
      <c r="V876" s="1"/>
      <c r="AB876" s="1"/>
      <c r="AH876" s="1"/>
      <c r="AN876" s="1"/>
      <c r="AT876" s="1"/>
      <c r="AZ876" s="4"/>
    </row>
    <row r="877" ht="12.75" customHeight="1">
      <c r="D877" s="1"/>
      <c r="J877" s="1"/>
      <c r="P877" s="1"/>
      <c r="V877" s="1"/>
      <c r="AB877" s="1"/>
      <c r="AH877" s="1"/>
      <c r="AN877" s="1"/>
      <c r="AT877" s="1"/>
      <c r="AZ877" s="4"/>
    </row>
    <row r="878" ht="12.75" customHeight="1">
      <c r="D878" s="1"/>
      <c r="J878" s="1"/>
      <c r="P878" s="1"/>
      <c r="V878" s="1"/>
      <c r="AB878" s="1"/>
      <c r="AH878" s="1"/>
      <c r="AN878" s="1"/>
      <c r="AT878" s="1"/>
      <c r="AZ878" s="4"/>
    </row>
    <row r="879" ht="12.75" customHeight="1">
      <c r="D879" s="1"/>
      <c r="J879" s="1"/>
      <c r="P879" s="1"/>
      <c r="V879" s="1"/>
      <c r="AB879" s="1"/>
      <c r="AH879" s="1"/>
      <c r="AN879" s="1"/>
      <c r="AT879" s="1"/>
      <c r="AZ879" s="4"/>
    </row>
    <row r="880" ht="12.75" customHeight="1">
      <c r="D880" s="1"/>
      <c r="J880" s="1"/>
      <c r="P880" s="1"/>
      <c r="V880" s="1"/>
      <c r="AB880" s="1"/>
      <c r="AH880" s="1"/>
      <c r="AN880" s="1"/>
      <c r="AT880" s="1"/>
      <c r="AZ880" s="4"/>
    </row>
    <row r="881" ht="12.75" customHeight="1">
      <c r="D881" s="1"/>
      <c r="J881" s="1"/>
      <c r="P881" s="1"/>
      <c r="V881" s="1"/>
      <c r="AB881" s="1"/>
      <c r="AH881" s="1"/>
      <c r="AN881" s="1"/>
      <c r="AT881" s="1"/>
      <c r="AZ881" s="4"/>
    </row>
    <row r="882" ht="12.75" customHeight="1">
      <c r="D882" s="1"/>
      <c r="J882" s="1"/>
      <c r="P882" s="1"/>
      <c r="V882" s="1"/>
      <c r="AB882" s="1"/>
      <c r="AH882" s="1"/>
      <c r="AN882" s="1"/>
      <c r="AT882" s="1"/>
      <c r="AZ882" s="4"/>
    </row>
    <row r="883" ht="12.75" customHeight="1">
      <c r="D883" s="1"/>
      <c r="J883" s="1"/>
      <c r="P883" s="1"/>
      <c r="V883" s="1"/>
      <c r="AB883" s="1"/>
      <c r="AH883" s="1"/>
      <c r="AN883" s="1"/>
      <c r="AT883" s="1"/>
      <c r="AZ883" s="4"/>
    </row>
    <row r="884" ht="12.75" customHeight="1">
      <c r="D884" s="1"/>
      <c r="J884" s="1"/>
      <c r="P884" s="1"/>
      <c r="V884" s="1"/>
      <c r="AB884" s="1"/>
      <c r="AH884" s="1"/>
      <c r="AN884" s="1"/>
      <c r="AT884" s="1"/>
      <c r="AZ884" s="4"/>
    </row>
    <row r="885" ht="12.75" customHeight="1">
      <c r="D885" s="1"/>
      <c r="J885" s="1"/>
      <c r="P885" s="1"/>
      <c r="V885" s="1"/>
      <c r="AB885" s="1"/>
      <c r="AH885" s="1"/>
      <c r="AN885" s="1"/>
      <c r="AT885" s="1"/>
      <c r="AZ885" s="4"/>
    </row>
    <row r="886" ht="12.75" customHeight="1">
      <c r="D886" s="1"/>
      <c r="J886" s="1"/>
      <c r="P886" s="1"/>
      <c r="V886" s="1"/>
      <c r="AB886" s="1"/>
      <c r="AH886" s="1"/>
      <c r="AN886" s="1"/>
      <c r="AT886" s="1"/>
      <c r="AZ886" s="4"/>
    </row>
    <row r="887" ht="12.75" customHeight="1">
      <c r="D887" s="1"/>
      <c r="J887" s="1"/>
      <c r="P887" s="1"/>
      <c r="V887" s="1"/>
      <c r="AB887" s="1"/>
      <c r="AH887" s="1"/>
      <c r="AN887" s="1"/>
      <c r="AT887" s="1"/>
      <c r="AZ887" s="4"/>
    </row>
    <row r="888" ht="12.75" customHeight="1">
      <c r="D888" s="1"/>
      <c r="J888" s="1"/>
      <c r="P888" s="1"/>
      <c r="V888" s="1"/>
      <c r="AB888" s="1"/>
      <c r="AH888" s="1"/>
      <c r="AN888" s="1"/>
      <c r="AT888" s="1"/>
      <c r="AZ888" s="4"/>
    </row>
    <row r="889" ht="12.75" customHeight="1">
      <c r="D889" s="1"/>
      <c r="J889" s="1"/>
      <c r="P889" s="1"/>
      <c r="V889" s="1"/>
      <c r="AB889" s="1"/>
      <c r="AH889" s="1"/>
      <c r="AN889" s="1"/>
      <c r="AT889" s="1"/>
      <c r="AZ889" s="4"/>
    </row>
    <row r="890" ht="12.75" customHeight="1">
      <c r="D890" s="1"/>
      <c r="J890" s="1"/>
      <c r="P890" s="1"/>
      <c r="V890" s="1"/>
      <c r="AB890" s="1"/>
      <c r="AH890" s="1"/>
      <c r="AN890" s="1"/>
      <c r="AT890" s="1"/>
      <c r="AZ890" s="4"/>
    </row>
    <row r="891" ht="12.75" customHeight="1">
      <c r="D891" s="1"/>
      <c r="J891" s="1"/>
      <c r="P891" s="1"/>
      <c r="V891" s="1"/>
      <c r="AB891" s="1"/>
      <c r="AH891" s="1"/>
      <c r="AN891" s="1"/>
      <c r="AT891" s="1"/>
      <c r="AZ891" s="4"/>
    </row>
    <row r="892" ht="12.75" customHeight="1">
      <c r="D892" s="1"/>
      <c r="J892" s="1"/>
      <c r="P892" s="1"/>
      <c r="V892" s="1"/>
      <c r="AB892" s="1"/>
      <c r="AH892" s="1"/>
      <c r="AN892" s="1"/>
      <c r="AT892" s="1"/>
      <c r="AZ892" s="4"/>
    </row>
    <row r="893" ht="12.75" customHeight="1">
      <c r="D893" s="1"/>
      <c r="J893" s="1"/>
      <c r="P893" s="1"/>
      <c r="V893" s="1"/>
      <c r="AB893" s="1"/>
      <c r="AH893" s="1"/>
      <c r="AN893" s="1"/>
      <c r="AT893" s="1"/>
      <c r="AZ893" s="4"/>
    </row>
    <row r="894" ht="12.75" customHeight="1">
      <c r="D894" s="1"/>
      <c r="J894" s="1"/>
      <c r="P894" s="1"/>
      <c r="V894" s="1"/>
      <c r="AB894" s="1"/>
      <c r="AH894" s="1"/>
      <c r="AN894" s="1"/>
      <c r="AT894" s="1"/>
      <c r="AZ894" s="4"/>
    </row>
    <row r="895" ht="12.75" customHeight="1">
      <c r="D895" s="1"/>
      <c r="J895" s="1"/>
      <c r="P895" s="1"/>
      <c r="V895" s="1"/>
      <c r="AB895" s="1"/>
      <c r="AH895" s="1"/>
      <c r="AN895" s="1"/>
      <c r="AT895" s="1"/>
      <c r="AZ895" s="4"/>
    </row>
    <row r="896" ht="12.75" customHeight="1">
      <c r="D896" s="1"/>
      <c r="J896" s="1"/>
      <c r="P896" s="1"/>
      <c r="V896" s="1"/>
      <c r="AB896" s="1"/>
      <c r="AH896" s="1"/>
      <c r="AN896" s="1"/>
      <c r="AT896" s="1"/>
      <c r="AZ896" s="4"/>
    </row>
    <row r="897" ht="12.75" customHeight="1">
      <c r="D897" s="1"/>
      <c r="J897" s="1"/>
      <c r="P897" s="1"/>
      <c r="V897" s="1"/>
      <c r="AB897" s="1"/>
      <c r="AH897" s="1"/>
      <c r="AN897" s="1"/>
      <c r="AT897" s="1"/>
      <c r="AZ897" s="4"/>
    </row>
    <row r="898" ht="12.75" customHeight="1">
      <c r="D898" s="1"/>
      <c r="J898" s="1"/>
      <c r="P898" s="1"/>
      <c r="V898" s="1"/>
      <c r="AB898" s="1"/>
      <c r="AH898" s="1"/>
      <c r="AN898" s="1"/>
      <c r="AT898" s="1"/>
      <c r="AZ898" s="4"/>
    </row>
    <row r="899" ht="12.75" customHeight="1">
      <c r="D899" s="1"/>
      <c r="J899" s="1"/>
      <c r="P899" s="1"/>
      <c r="V899" s="1"/>
      <c r="AB899" s="1"/>
      <c r="AH899" s="1"/>
      <c r="AN899" s="1"/>
      <c r="AT899" s="1"/>
      <c r="AZ899" s="4"/>
    </row>
    <row r="900" ht="12.75" customHeight="1">
      <c r="D900" s="1"/>
      <c r="J900" s="1"/>
      <c r="P900" s="1"/>
      <c r="V900" s="1"/>
      <c r="AB900" s="1"/>
      <c r="AH900" s="1"/>
      <c r="AN900" s="1"/>
      <c r="AT900" s="1"/>
      <c r="AZ900" s="4"/>
    </row>
    <row r="901" ht="12.75" customHeight="1">
      <c r="D901" s="1"/>
      <c r="J901" s="1"/>
      <c r="P901" s="1"/>
      <c r="V901" s="1"/>
      <c r="AB901" s="1"/>
      <c r="AH901" s="1"/>
      <c r="AN901" s="1"/>
      <c r="AT901" s="1"/>
      <c r="AZ901" s="4"/>
    </row>
    <row r="902" ht="12.75" customHeight="1">
      <c r="D902" s="1"/>
      <c r="J902" s="1"/>
      <c r="P902" s="1"/>
      <c r="V902" s="1"/>
      <c r="AB902" s="1"/>
      <c r="AH902" s="1"/>
      <c r="AN902" s="1"/>
      <c r="AT902" s="1"/>
      <c r="AZ902" s="4"/>
    </row>
    <row r="903" ht="12.75" customHeight="1">
      <c r="D903" s="1"/>
      <c r="J903" s="1"/>
      <c r="P903" s="1"/>
      <c r="V903" s="1"/>
      <c r="AB903" s="1"/>
      <c r="AH903" s="1"/>
      <c r="AN903" s="1"/>
      <c r="AT903" s="1"/>
      <c r="AZ903" s="4"/>
    </row>
    <row r="904" ht="12.75" customHeight="1">
      <c r="D904" s="1"/>
      <c r="J904" s="1"/>
      <c r="P904" s="1"/>
      <c r="V904" s="1"/>
      <c r="AB904" s="1"/>
      <c r="AH904" s="1"/>
      <c r="AN904" s="1"/>
      <c r="AT904" s="1"/>
      <c r="AZ904" s="4"/>
    </row>
    <row r="905" ht="12.75" customHeight="1">
      <c r="D905" s="1"/>
      <c r="J905" s="1"/>
      <c r="P905" s="1"/>
      <c r="V905" s="1"/>
      <c r="AB905" s="1"/>
      <c r="AH905" s="1"/>
      <c r="AN905" s="1"/>
      <c r="AT905" s="1"/>
      <c r="AZ905" s="4"/>
    </row>
    <row r="906" ht="12.75" customHeight="1">
      <c r="D906" s="1"/>
      <c r="J906" s="1"/>
      <c r="P906" s="1"/>
      <c r="V906" s="1"/>
      <c r="AB906" s="1"/>
      <c r="AH906" s="1"/>
      <c r="AN906" s="1"/>
      <c r="AT906" s="1"/>
      <c r="AZ906" s="4"/>
    </row>
    <row r="907" ht="12.75" customHeight="1">
      <c r="D907" s="1"/>
      <c r="J907" s="1"/>
      <c r="P907" s="1"/>
      <c r="V907" s="1"/>
      <c r="AB907" s="1"/>
      <c r="AH907" s="1"/>
      <c r="AN907" s="1"/>
      <c r="AT907" s="1"/>
      <c r="AZ907" s="4"/>
    </row>
    <row r="908" ht="12.75" customHeight="1">
      <c r="D908" s="1"/>
      <c r="J908" s="1"/>
      <c r="P908" s="1"/>
      <c r="V908" s="1"/>
      <c r="AB908" s="1"/>
      <c r="AH908" s="1"/>
      <c r="AN908" s="1"/>
      <c r="AT908" s="1"/>
      <c r="AZ908" s="4"/>
    </row>
    <row r="909" ht="12.75" customHeight="1">
      <c r="D909" s="1"/>
      <c r="J909" s="1"/>
      <c r="P909" s="1"/>
      <c r="V909" s="1"/>
      <c r="AB909" s="1"/>
      <c r="AH909" s="1"/>
      <c r="AN909" s="1"/>
      <c r="AT909" s="1"/>
      <c r="AZ909" s="4"/>
    </row>
    <row r="910" ht="12.75" customHeight="1">
      <c r="D910" s="1"/>
      <c r="J910" s="1"/>
      <c r="P910" s="1"/>
      <c r="V910" s="1"/>
      <c r="AB910" s="1"/>
      <c r="AH910" s="1"/>
      <c r="AN910" s="1"/>
      <c r="AT910" s="1"/>
      <c r="AZ910" s="4"/>
    </row>
    <row r="911" ht="12.75" customHeight="1">
      <c r="D911" s="1"/>
      <c r="J911" s="1"/>
      <c r="P911" s="1"/>
      <c r="V911" s="1"/>
      <c r="AB911" s="1"/>
      <c r="AH911" s="1"/>
      <c r="AN911" s="1"/>
      <c r="AT911" s="1"/>
      <c r="AZ911" s="4"/>
    </row>
    <row r="912" ht="12.75" customHeight="1">
      <c r="D912" s="1"/>
      <c r="J912" s="1"/>
      <c r="P912" s="1"/>
      <c r="V912" s="1"/>
      <c r="AB912" s="1"/>
      <c r="AH912" s="1"/>
      <c r="AN912" s="1"/>
      <c r="AT912" s="1"/>
      <c r="AZ912" s="4"/>
    </row>
    <row r="913" ht="12.75" customHeight="1">
      <c r="D913" s="1"/>
      <c r="J913" s="1"/>
      <c r="P913" s="1"/>
      <c r="V913" s="1"/>
      <c r="AB913" s="1"/>
      <c r="AH913" s="1"/>
      <c r="AN913" s="1"/>
      <c r="AT913" s="1"/>
      <c r="AZ913" s="4"/>
    </row>
    <row r="914" ht="12.75" customHeight="1">
      <c r="D914" s="1"/>
      <c r="J914" s="1"/>
      <c r="P914" s="1"/>
      <c r="V914" s="1"/>
      <c r="AB914" s="1"/>
      <c r="AH914" s="1"/>
      <c r="AN914" s="1"/>
      <c r="AT914" s="1"/>
      <c r="AZ914" s="4"/>
    </row>
    <row r="915" ht="12.75" customHeight="1">
      <c r="D915" s="1"/>
      <c r="J915" s="1"/>
      <c r="P915" s="1"/>
      <c r="V915" s="1"/>
      <c r="AB915" s="1"/>
      <c r="AH915" s="1"/>
      <c r="AN915" s="1"/>
      <c r="AT915" s="1"/>
      <c r="AZ915" s="4"/>
    </row>
    <row r="916" ht="12.75" customHeight="1">
      <c r="D916" s="1"/>
      <c r="J916" s="1"/>
      <c r="P916" s="1"/>
      <c r="V916" s="1"/>
      <c r="AB916" s="1"/>
      <c r="AH916" s="1"/>
      <c r="AN916" s="1"/>
      <c r="AT916" s="1"/>
      <c r="AZ916" s="4"/>
    </row>
    <row r="917" ht="12.75" customHeight="1">
      <c r="D917" s="1"/>
      <c r="J917" s="1"/>
      <c r="P917" s="1"/>
      <c r="V917" s="1"/>
      <c r="AB917" s="1"/>
      <c r="AH917" s="1"/>
      <c r="AN917" s="1"/>
      <c r="AT917" s="1"/>
      <c r="AZ917" s="4"/>
    </row>
    <row r="918" ht="12.75" customHeight="1">
      <c r="D918" s="1"/>
      <c r="J918" s="1"/>
      <c r="P918" s="1"/>
      <c r="V918" s="1"/>
      <c r="AB918" s="1"/>
      <c r="AH918" s="1"/>
      <c r="AN918" s="1"/>
      <c r="AT918" s="1"/>
      <c r="AZ918" s="4"/>
    </row>
    <row r="919" ht="12.75" customHeight="1">
      <c r="D919" s="1"/>
      <c r="J919" s="1"/>
      <c r="P919" s="1"/>
      <c r="V919" s="1"/>
      <c r="AB919" s="1"/>
      <c r="AH919" s="1"/>
      <c r="AN919" s="1"/>
      <c r="AT919" s="1"/>
      <c r="AZ919" s="4"/>
    </row>
    <row r="920" ht="12.75" customHeight="1">
      <c r="D920" s="1"/>
      <c r="J920" s="1"/>
      <c r="P920" s="1"/>
      <c r="V920" s="1"/>
      <c r="AB920" s="1"/>
      <c r="AH920" s="1"/>
      <c r="AN920" s="1"/>
      <c r="AT920" s="1"/>
      <c r="AZ920" s="4"/>
    </row>
    <row r="921" ht="12.75" customHeight="1">
      <c r="D921" s="1"/>
      <c r="J921" s="1"/>
      <c r="P921" s="1"/>
      <c r="V921" s="1"/>
      <c r="AB921" s="1"/>
      <c r="AH921" s="1"/>
      <c r="AN921" s="1"/>
      <c r="AT921" s="1"/>
      <c r="AZ921" s="4"/>
    </row>
    <row r="922" ht="12.75" customHeight="1">
      <c r="D922" s="1"/>
      <c r="J922" s="1"/>
      <c r="P922" s="1"/>
      <c r="V922" s="1"/>
      <c r="AB922" s="1"/>
      <c r="AH922" s="1"/>
      <c r="AN922" s="1"/>
      <c r="AT922" s="1"/>
      <c r="AZ922" s="4"/>
    </row>
    <row r="923" ht="12.75" customHeight="1">
      <c r="D923" s="1"/>
      <c r="J923" s="1"/>
      <c r="P923" s="1"/>
      <c r="V923" s="1"/>
      <c r="AB923" s="1"/>
      <c r="AH923" s="1"/>
      <c r="AN923" s="1"/>
      <c r="AT923" s="1"/>
      <c r="AZ923" s="4"/>
    </row>
    <row r="924" ht="12.75" customHeight="1">
      <c r="D924" s="1"/>
      <c r="J924" s="1"/>
      <c r="P924" s="1"/>
      <c r="V924" s="1"/>
      <c r="AB924" s="1"/>
      <c r="AH924" s="1"/>
      <c r="AN924" s="1"/>
      <c r="AT924" s="1"/>
      <c r="AZ924" s="4"/>
    </row>
    <row r="925" ht="12.75" customHeight="1">
      <c r="D925" s="1"/>
      <c r="J925" s="1"/>
      <c r="P925" s="1"/>
      <c r="V925" s="1"/>
      <c r="AB925" s="1"/>
      <c r="AH925" s="1"/>
      <c r="AN925" s="1"/>
      <c r="AT925" s="1"/>
      <c r="AZ925" s="4"/>
    </row>
    <row r="926" ht="12.75" customHeight="1">
      <c r="D926" s="1"/>
      <c r="J926" s="1"/>
      <c r="P926" s="1"/>
      <c r="V926" s="1"/>
      <c r="AB926" s="1"/>
      <c r="AH926" s="1"/>
      <c r="AN926" s="1"/>
      <c r="AT926" s="1"/>
      <c r="AZ926" s="4"/>
    </row>
    <row r="927" ht="12.75" customHeight="1">
      <c r="D927" s="1"/>
      <c r="J927" s="1"/>
      <c r="P927" s="1"/>
      <c r="V927" s="1"/>
      <c r="AB927" s="1"/>
      <c r="AH927" s="1"/>
      <c r="AN927" s="1"/>
      <c r="AT927" s="1"/>
      <c r="AZ927" s="4"/>
    </row>
    <row r="928" ht="12.75" customHeight="1">
      <c r="D928" s="1"/>
      <c r="J928" s="1"/>
      <c r="P928" s="1"/>
      <c r="V928" s="1"/>
      <c r="AB928" s="1"/>
      <c r="AH928" s="1"/>
      <c r="AN928" s="1"/>
      <c r="AT928" s="1"/>
      <c r="AZ928" s="4"/>
    </row>
    <row r="929" ht="12.75" customHeight="1">
      <c r="D929" s="1"/>
      <c r="J929" s="1"/>
      <c r="P929" s="1"/>
      <c r="V929" s="1"/>
      <c r="AB929" s="1"/>
      <c r="AH929" s="1"/>
      <c r="AN929" s="1"/>
      <c r="AT929" s="1"/>
      <c r="AZ929" s="4"/>
    </row>
    <row r="930" ht="12.75" customHeight="1">
      <c r="D930" s="1"/>
      <c r="J930" s="1"/>
      <c r="P930" s="1"/>
      <c r="V930" s="1"/>
      <c r="AB930" s="1"/>
      <c r="AH930" s="1"/>
      <c r="AN930" s="1"/>
      <c r="AT930" s="1"/>
      <c r="AZ930" s="4"/>
    </row>
    <row r="931" ht="12.75" customHeight="1">
      <c r="D931" s="1"/>
      <c r="J931" s="1"/>
      <c r="P931" s="1"/>
      <c r="V931" s="1"/>
      <c r="AB931" s="1"/>
      <c r="AH931" s="1"/>
      <c r="AN931" s="1"/>
      <c r="AT931" s="1"/>
      <c r="AZ931" s="4"/>
    </row>
    <row r="932" ht="12.75" customHeight="1">
      <c r="D932" s="1"/>
      <c r="J932" s="1"/>
      <c r="P932" s="1"/>
      <c r="V932" s="1"/>
      <c r="AB932" s="1"/>
      <c r="AH932" s="1"/>
      <c r="AN932" s="1"/>
      <c r="AT932" s="1"/>
      <c r="AZ932" s="4"/>
    </row>
    <row r="933" ht="12.75" customHeight="1">
      <c r="D933" s="1"/>
      <c r="J933" s="1"/>
      <c r="P933" s="1"/>
      <c r="V933" s="1"/>
      <c r="AB933" s="1"/>
      <c r="AH933" s="1"/>
      <c r="AN933" s="1"/>
      <c r="AT933" s="1"/>
      <c r="AZ933" s="4"/>
    </row>
    <row r="934" ht="12.75" customHeight="1">
      <c r="D934" s="1"/>
      <c r="J934" s="1"/>
      <c r="P934" s="1"/>
      <c r="V934" s="1"/>
      <c r="AB934" s="1"/>
      <c r="AH934" s="1"/>
      <c r="AN934" s="1"/>
      <c r="AT934" s="1"/>
      <c r="AZ934" s="4"/>
    </row>
    <row r="935" ht="12.75" customHeight="1">
      <c r="D935" s="1"/>
      <c r="J935" s="1"/>
      <c r="P935" s="1"/>
      <c r="V935" s="1"/>
      <c r="AB935" s="1"/>
      <c r="AH935" s="1"/>
      <c r="AN935" s="1"/>
      <c r="AT935" s="1"/>
      <c r="AZ935" s="4"/>
    </row>
    <row r="936" ht="12.75" customHeight="1">
      <c r="D936" s="1"/>
      <c r="J936" s="1"/>
      <c r="P936" s="1"/>
      <c r="V936" s="1"/>
      <c r="AB936" s="1"/>
      <c r="AH936" s="1"/>
      <c r="AN936" s="1"/>
      <c r="AT936" s="1"/>
      <c r="AZ936" s="4"/>
    </row>
    <row r="937" ht="12.75" customHeight="1">
      <c r="D937" s="1"/>
      <c r="J937" s="1"/>
      <c r="P937" s="1"/>
      <c r="V937" s="1"/>
      <c r="AB937" s="1"/>
      <c r="AH937" s="1"/>
      <c r="AN937" s="1"/>
      <c r="AT937" s="1"/>
      <c r="AZ937" s="4"/>
    </row>
    <row r="938" ht="12.75" customHeight="1">
      <c r="D938" s="1"/>
      <c r="J938" s="1"/>
      <c r="P938" s="1"/>
      <c r="V938" s="1"/>
      <c r="AB938" s="1"/>
      <c r="AH938" s="1"/>
      <c r="AN938" s="1"/>
      <c r="AT938" s="1"/>
      <c r="AZ938" s="4"/>
    </row>
    <row r="939" ht="12.75" customHeight="1">
      <c r="D939" s="1"/>
      <c r="J939" s="1"/>
      <c r="P939" s="1"/>
      <c r="V939" s="1"/>
      <c r="AB939" s="1"/>
      <c r="AH939" s="1"/>
      <c r="AN939" s="1"/>
      <c r="AT939" s="1"/>
      <c r="AZ939" s="4"/>
    </row>
    <row r="940" ht="12.75" customHeight="1">
      <c r="D940" s="1"/>
      <c r="J940" s="1"/>
      <c r="P940" s="1"/>
      <c r="V940" s="1"/>
      <c r="AB940" s="1"/>
      <c r="AH940" s="1"/>
      <c r="AN940" s="1"/>
      <c r="AT940" s="1"/>
      <c r="AZ940" s="4"/>
    </row>
    <row r="941" ht="12.75" customHeight="1">
      <c r="D941" s="1"/>
      <c r="J941" s="1"/>
      <c r="P941" s="1"/>
      <c r="V941" s="1"/>
      <c r="AB941" s="1"/>
      <c r="AH941" s="1"/>
      <c r="AN941" s="1"/>
      <c r="AT941" s="1"/>
      <c r="AZ941" s="4"/>
    </row>
    <row r="942" ht="12.75" customHeight="1">
      <c r="D942" s="1"/>
      <c r="J942" s="1"/>
      <c r="P942" s="1"/>
      <c r="V942" s="1"/>
      <c r="AB942" s="1"/>
      <c r="AH942" s="1"/>
      <c r="AN942" s="1"/>
      <c r="AT942" s="1"/>
      <c r="AZ942" s="4"/>
    </row>
    <row r="943" ht="12.75" customHeight="1">
      <c r="D943" s="1"/>
      <c r="J943" s="1"/>
      <c r="P943" s="1"/>
      <c r="V943" s="1"/>
      <c r="AB943" s="1"/>
      <c r="AH943" s="1"/>
      <c r="AN943" s="1"/>
      <c r="AT943" s="1"/>
      <c r="AZ943" s="4"/>
    </row>
    <row r="944" ht="12.75" customHeight="1">
      <c r="D944" s="1"/>
      <c r="J944" s="1"/>
      <c r="P944" s="1"/>
      <c r="V944" s="1"/>
      <c r="AB944" s="1"/>
      <c r="AH944" s="1"/>
      <c r="AN944" s="1"/>
      <c r="AT944" s="1"/>
      <c r="AZ944" s="4"/>
    </row>
    <row r="945" ht="12.75" customHeight="1">
      <c r="D945" s="1"/>
      <c r="J945" s="1"/>
      <c r="P945" s="1"/>
      <c r="V945" s="1"/>
      <c r="AB945" s="1"/>
      <c r="AH945" s="1"/>
      <c r="AN945" s="1"/>
      <c r="AT945" s="1"/>
      <c r="AZ945" s="4"/>
    </row>
    <row r="946" ht="12.75" customHeight="1">
      <c r="D946" s="1"/>
      <c r="J946" s="1"/>
      <c r="P946" s="1"/>
      <c r="V946" s="1"/>
      <c r="AB946" s="1"/>
      <c r="AH946" s="1"/>
      <c r="AN946" s="1"/>
      <c r="AT946" s="1"/>
      <c r="AZ946" s="4"/>
    </row>
    <row r="947" ht="12.75" customHeight="1">
      <c r="D947" s="1"/>
      <c r="J947" s="1"/>
      <c r="P947" s="1"/>
      <c r="V947" s="1"/>
      <c r="AB947" s="1"/>
      <c r="AH947" s="1"/>
      <c r="AN947" s="1"/>
      <c r="AT947" s="1"/>
      <c r="AZ947" s="4"/>
    </row>
    <row r="948" ht="12.75" customHeight="1">
      <c r="D948" s="1"/>
      <c r="J948" s="1"/>
      <c r="P948" s="1"/>
      <c r="V948" s="1"/>
      <c r="AB948" s="1"/>
      <c r="AH948" s="1"/>
      <c r="AN948" s="1"/>
      <c r="AT948" s="1"/>
      <c r="AZ948" s="4"/>
    </row>
    <row r="949" ht="12.75" customHeight="1">
      <c r="D949" s="1"/>
      <c r="J949" s="1"/>
      <c r="P949" s="1"/>
      <c r="V949" s="1"/>
      <c r="AB949" s="1"/>
      <c r="AH949" s="1"/>
      <c r="AN949" s="1"/>
      <c r="AT949" s="1"/>
      <c r="AZ949" s="4"/>
    </row>
    <row r="950" ht="12.75" customHeight="1">
      <c r="D950" s="1"/>
      <c r="J950" s="1"/>
      <c r="P950" s="1"/>
      <c r="V950" s="1"/>
      <c r="AB950" s="1"/>
      <c r="AH950" s="1"/>
      <c r="AN950" s="1"/>
      <c r="AT950" s="1"/>
      <c r="AZ950" s="4"/>
    </row>
    <row r="951" ht="12.75" customHeight="1">
      <c r="D951" s="1"/>
      <c r="J951" s="1"/>
      <c r="P951" s="1"/>
      <c r="V951" s="1"/>
      <c r="AB951" s="1"/>
      <c r="AH951" s="1"/>
      <c r="AN951" s="1"/>
      <c r="AT951" s="1"/>
      <c r="AZ951" s="4"/>
    </row>
    <row r="952" ht="12.75" customHeight="1">
      <c r="D952" s="1"/>
      <c r="J952" s="1"/>
      <c r="P952" s="1"/>
      <c r="V952" s="1"/>
      <c r="AB952" s="1"/>
      <c r="AH952" s="1"/>
      <c r="AN952" s="1"/>
      <c r="AT952" s="1"/>
      <c r="AZ952" s="4"/>
    </row>
    <row r="953" ht="12.75" customHeight="1">
      <c r="D953" s="1"/>
      <c r="J953" s="1"/>
      <c r="P953" s="1"/>
      <c r="V953" s="1"/>
      <c r="AB953" s="1"/>
      <c r="AH953" s="1"/>
      <c r="AN953" s="1"/>
      <c r="AT953" s="1"/>
      <c r="AZ953" s="4"/>
    </row>
    <row r="954" ht="12.75" customHeight="1">
      <c r="D954" s="1"/>
      <c r="J954" s="1"/>
      <c r="P954" s="1"/>
      <c r="V954" s="1"/>
      <c r="AB954" s="1"/>
      <c r="AH954" s="1"/>
      <c r="AN954" s="1"/>
      <c r="AT954" s="1"/>
      <c r="AZ954" s="4"/>
    </row>
    <row r="955" ht="12.75" customHeight="1">
      <c r="D955" s="1"/>
      <c r="J955" s="1"/>
      <c r="P955" s="1"/>
      <c r="V955" s="1"/>
      <c r="AB955" s="1"/>
      <c r="AH955" s="1"/>
      <c r="AN955" s="1"/>
      <c r="AT955" s="1"/>
      <c r="AZ955" s="4"/>
    </row>
    <row r="956" ht="12.75" customHeight="1">
      <c r="D956" s="1"/>
      <c r="J956" s="1"/>
      <c r="P956" s="1"/>
      <c r="V956" s="1"/>
      <c r="AB956" s="1"/>
      <c r="AH956" s="1"/>
      <c r="AN956" s="1"/>
      <c r="AT956" s="1"/>
      <c r="AZ956" s="4"/>
    </row>
    <row r="957" ht="12.75" customHeight="1">
      <c r="D957" s="1"/>
      <c r="J957" s="1"/>
      <c r="P957" s="1"/>
      <c r="V957" s="1"/>
      <c r="AB957" s="1"/>
      <c r="AH957" s="1"/>
      <c r="AN957" s="1"/>
      <c r="AT957" s="1"/>
      <c r="AZ957" s="4"/>
    </row>
    <row r="958" ht="12.75" customHeight="1">
      <c r="D958" s="1"/>
      <c r="J958" s="1"/>
      <c r="P958" s="1"/>
      <c r="V958" s="1"/>
      <c r="AB958" s="1"/>
      <c r="AH958" s="1"/>
      <c r="AN958" s="1"/>
      <c r="AT958" s="1"/>
      <c r="AZ958" s="4"/>
    </row>
    <row r="959" ht="12.75" customHeight="1">
      <c r="D959" s="1"/>
      <c r="J959" s="1"/>
      <c r="P959" s="1"/>
      <c r="V959" s="1"/>
      <c r="AB959" s="1"/>
      <c r="AH959" s="1"/>
      <c r="AN959" s="1"/>
      <c r="AT959" s="1"/>
      <c r="AZ959" s="4"/>
    </row>
    <row r="960" ht="12.75" customHeight="1">
      <c r="D960" s="1"/>
      <c r="J960" s="1"/>
      <c r="P960" s="1"/>
      <c r="V960" s="1"/>
      <c r="AB960" s="1"/>
      <c r="AH960" s="1"/>
      <c r="AN960" s="1"/>
      <c r="AT960" s="1"/>
      <c r="AZ960" s="4"/>
    </row>
    <row r="961" ht="12.75" customHeight="1">
      <c r="D961" s="1"/>
      <c r="J961" s="1"/>
      <c r="P961" s="1"/>
      <c r="V961" s="1"/>
      <c r="AB961" s="1"/>
      <c r="AH961" s="1"/>
      <c r="AN961" s="1"/>
      <c r="AT961" s="1"/>
      <c r="AZ961" s="4"/>
    </row>
    <row r="962" ht="12.75" customHeight="1">
      <c r="D962" s="1"/>
      <c r="J962" s="1"/>
      <c r="P962" s="1"/>
      <c r="V962" s="1"/>
      <c r="AB962" s="1"/>
      <c r="AH962" s="1"/>
      <c r="AN962" s="1"/>
      <c r="AT962" s="1"/>
      <c r="AZ962" s="4"/>
    </row>
    <row r="963" ht="12.75" customHeight="1">
      <c r="D963" s="1"/>
      <c r="J963" s="1"/>
      <c r="P963" s="1"/>
      <c r="V963" s="1"/>
      <c r="AB963" s="1"/>
      <c r="AH963" s="1"/>
      <c r="AN963" s="1"/>
      <c r="AT963" s="1"/>
      <c r="AZ963" s="4"/>
    </row>
    <row r="964" ht="12.75" customHeight="1">
      <c r="D964" s="1"/>
      <c r="J964" s="1"/>
      <c r="P964" s="1"/>
      <c r="V964" s="1"/>
      <c r="AB964" s="1"/>
      <c r="AH964" s="1"/>
      <c r="AN964" s="1"/>
      <c r="AT964" s="1"/>
      <c r="AZ964" s="4"/>
    </row>
    <row r="965" ht="12.75" customHeight="1">
      <c r="D965" s="1"/>
      <c r="J965" s="1"/>
      <c r="P965" s="1"/>
      <c r="V965" s="1"/>
      <c r="AB965" s="1"/>
      <c r="AH965" s="1"/>
      <c r="AN965" s="1"/>
      <c r="AT965" s="1"/>
      <c r="AZ965" s="4"/>
    </row>
    <row r="966" ht="12.75" customHeight="1">
      <c r="D966" s="1"/>
      <c r="J966" s="1"/>
      <c r="P966" s="1"/>
      <c r="V966" s="1"/>
      <c r="AB966" s="1"/>
      <c r="AH966" s="1"/>
      <c r="AN966" s="1"/>
      <c r="AT966" s="1"/>
      <c r="AZ966" s="4"/>
    </row>
    <row r="967" ht="12.75" customHeight="1">
      <c r="D967" s="1"/>
      <c r="J967" s="1"/>
      <c r="P967" s="1"/>
      <c r="V967" s="1"/>
      <c r="AB967" s="1"/>
      <c r="AH967" s="1"/>
      <c r="AN967" s="1"/>
      <c r="AT967" s="1"/>
      <c r="AZ967" s="4"/>
    </row>
    <row r="968" ht="12.75" customHeight="1">
      <c r="D968" s="1"/>
      <c r="J968" s="1"/>
      <c r="P968" s="1"/>
      <c r="V968" s="1"/>
      <c r="AB968" s="1"/>
      <c r="AH968" s="1"/>
      <c r="AN968" s="1"/>
      <c r="AT968" s="1"/>
      <c r="AZ968" s="4"/>
    </row>
    <row r="969" ht="12.75" customHeight="1">
      <c r="D969" s="1"/>
      <c r="J969" s="1"/>
      <c r="P969" s="1"/>
      <c r="V969" s="1"/>
      <c r="AB969" s="1"/>
      <c r="AH969" s="1"/>
      <c r="AN969" s="1"/>
      <c r="AT969" s="1"/>
      <c r="AZ969" s="4"/>
    </row>
    <row r="970" ht="12.75" customHeight="1">
      <c r="D970" s="1"/>
      <c r="J970" s="1"/>
      <c r="P970" s="1"/>
      <c r="V970" s="1"/>
      <c r="AB970" s="1"/>
      <c r="AH970" s="1"/>
      <c r="AN970" s="1"/>
      <c r="AT970" s="1"/>
      <c r="AZ970" s="4"/>
    </row>
    <row r="971" ht="12.75" customHeight="1">
      <c r="D971" s="1"/>
      <c r="J971" s="1"/>
      <c r="P971" s="1"/>
      <c r="V971" s="1"/>
      <c r="AB971" s="1"/>
      <c r="AH971" s="1"/>
      <c r="AN971" s="1"/>
      <c r="AT971" s="1"/>
      <c r="AZ971" s="4"/>
    </row>
    <row r="972" ht="12.75" customHeight="1">
      <c r="D972" s="1"/>
      <c r="J972" s="1"/>
      <c r="P972" s="1"/>
      <c r="V972" s="1"/>
      <c r="AB972" s="1"/>
      <c r="AH972" s="1"/>
      <c r="AN972" s="1"/>
      <c r="AT972" s="1"/>
      <c r="AZ972" s="4"/>
    </row>
    <row r="973" ht="12.75" customHeight="1">
      <c r="D973" s="1"/>
      <c r="J973" s="1"/>
      <c r="P973" s="1"/>
      <c r="V973" s="1"/>
      <c r="AB973" s="1"/>
      <c r="AH973" s="1"/>
      <c r="AN973" s="1"/>
      <c r="AT973" s="1"/>
      <c r="AZ973" s="4"/>
    </row>
    <row r="974" ht="12.75" customHeight="1">
      <c r="D974" s="1"/>
      <c r="J974" s="1"/>
      <c r="P974" s="1"/>
      <c r="V974" s="1"/>
      <c r="AB974" s="1"/>
      <c r="AH974" s="1"/>
      <c r="AN974" s="1"/>
      <c r="AT974" s="1"/>
      <c r="AZ974" s="4"/>
    </row>
    <row r="975" ht="12.75" customHeight="1">
      <c r="D975" s="1"/>
      <c r="J975" s="1"/>
      <c r="P975" s="1"/>
      <c r="V975" s="1"/>
      <c r="AB975" s="1"/>
      <c r="AH975" s="1"/>
      <c r="AN975" s="1"/>
      <c r="AT975" s="1"/>
      <c r="AZ975" s="4"/>
    </row>
    <row r="976" ht="12.75" customHeight="1">
      <c r="D976" s="1"/>
      <c r="J976" s="1"/>
      <c r="P976" s="1"/>
      <c r="V976" s="1"/>
      <c r="AB976" s="1"/>
      <c r="AH976" s="1"/>
      <c r="AN976" s="1"/>
      <c r="AT976" s="1"/>
      <c r="AZ976" s="4"/>
    </row>
    <row r="977" ht="12.75" customHeight="1">
      <c r="D977" s="1"/>
      <c r="J977" s="1"/>
      <c r="P977" s="1"/>
      <c r="V977" s="1"/>
      <c r="AB977" s="1"/>
      <c r="AH977" s="1"/>
      <c r="AN977" s="1"/>
      <c r="AT977" s="1"/>
      <c r="AZ977" s="4"/>
    </row>
    <row r="978" ht="12.75" customHeight="1">
      <c r="D978" s="1"/>
      <c r="J978" s="1"/>
      <c r="P978" s="1"/>
      <c r="V978" s="1"/>
      <c r="AB978" s="1"/>
      <c r="AH978" s="1"/>
      <c r="AN978" s="1"/>
      <c r="AT978" s="1"/>
      <c r="AZ978" s="4"/>
    </row>
    <row r="979" ht="12.75" customHeight="1">
      <c r="D979" s="1"/>
      <c r="J979" s="1"/>
      <c r="P979" s="1"/>
      <c r="V979" s="1"/>
      <c r="AB979" s="1"/>
      <c r="AH979" s="1"/>
      <c r="AN979" s="1"/>
      <c r="AT979" s="1"/>
      <c r="AZ979" s="4"/>
    </row>
    <row r="980" ht="12.75" customHeight="1">
      <c r="D980" s="1"/>
      <c r="J980" s="1"/>
      <c r="P980" s="1"/>
      <c r="V980" s="1"/>
      <c r="AB980" s="1"/>
      <c r="AH980" s="1"/>
      <c r="AN980" s="1"/>
      <c r="AT980" s="1"/>
      <c r="AZ980" s="4"/>
    </row>
    <row r="981" ht="12.75" customHeight="1">
      <c r="D981" s="1"/>
      <c r="J981" s="1"/>
      <c r="P981" s="1"/>
      <c r="V981" s="1"/>
      <c r="AB981" s="1"/>
      <c r="AH981" s="1"/>
      <c r="AN981" s="1"/>
      <c r="AT981" s="1"/>
      <c r="AZ981" s="4"/>
    </row>
    <row r="982" ht="12.75" customHeight="1">
      <c r="D982" s="1"/>
      <c r="J982" s="1"/>
      <c r="P982" s="1"/>
      <c r="V982" s="1"/>
      <c r="AB982" s="1"/>
      <c r="AH982" s="1"/>
      <c r="AN982" s="1"/>
      <c r="AT982" s="1"/>
      <c r="AZ982" s="4"/>
    </row>
    <row r="983" ht="12.75" customHeight="1">
      <c r="D983" s="1"/>
      <c r="J983" s="1"/>
      <c r="P983" s="1"/>
      <c r="V983" s="1"/>
      <c r="AB983" s="1"/>
      <c r="AH983" s="1"/>
      <c r="AN983" s="1"/>
      <c r="AT983" s="1"/>
      <c r="AZ983" s="4"/>
    </row>
    <row r="984" ht="12.75" customHeight="1">
      <c r="D984" s="1"/>
      <c r="J984" s="1"/>
      <c r="P984" s="1"/>
      <c r="V984" s="1"/>
      <c r="AB984" s="1"/>
      <c r="AH984" s="1"/>
      <c r="AN984" s="1"/>
      <c r="AT984" s="1"/>
      <c r="AZ984" s="4"/>
    </row>
    <row r="985" ht="12.75" customHeight="1">
      <c r="D985" s="1"/>
      <c r="J985" s="1"/>
      <c r="P985" s="1"/>
      <c r="V985" s="1"/>
      <c r="AB985" s="1"/>
      <c r="AH985" s="1"/>
      <c r="AN985" s="1"/>
      <c r="AT985" s="1"/>
      <c r="AZ985" s="4"/>
    </row>
    <row r="986" ht="12.75" customHeight="1">
      <c r="D986" s="1"/>
      <c r="J986" s="1"/>
      <c r="P986" s="1"/>
      <c r="V986" s="1"/>
      <c r="AB986" s="1"/>
      <c r="AH986" s="1"/>
      <c r="AN986" s="1"/>
      <c r="AT986" s="1"/>
      <c r="AZ986" s="4"/>
    </row>
    <row r="987" ht="12.75" customHeight="1">
      <c r="D987" s="1"/>
      <c r="J987" s="1"/>
      <c r="P987" s="1"/>
      <c r="V987" s="1"/>
      <c r="AB987" s="1"/>
      <c r="AH987" s="1"/>
      <c r="AN987" s="1"/>
      <c r="AT987" s="1"/>
      <c r="AZ987" s="4"/>
    </row>
    <row r="988" ht="12.75" customHeight="1">
      <c r="D988" s="1"/>
      <c r="J988" s="1"/>
      <c r="P988" s="1"/>
      <c r="V988" s="1"/>
      <c r="AB988" s="1"/>
      <c r="AH988" s="1"/>
      <c r="AN988" s="1"/>
      <c r="AT988" s="1"/>
      <c r="AZ988" s="4"/>
    </row>
    <row r="989" ht="12.75" customHeight="1">
      <c r="D989" s="1"/>
      <c r="J989" s="1"/>
      <c r="P989" s="1"/>
      <c r="V989" s="1"/>
      <c r="AB989" s="1"/>
      <c r="AH989" s="1"/>
      <c r="AN989" s="1"/>
      <c r="AT989" s="1"/>
      <c r="AZ989" s="4"/>
    </row>
    <row r="990" ht="12.75" customHeight="1">
      <c r="D990" s="1"/>
      <c r="J990" s="1"/>
      <c r="P990" s="1"/>
      <c r="V990" s="1"/>
      <c r="AB990" s="1"/>
      <c r="AH990" s="1"/>
      <c r="AN990" s="1"/>
      <c r="AT990" s="1"/>
      <c r="AZ990" s="4"/>
    </row>
    <row r="991" ht="12.75" customHeight="1">
      <c r="D991" s="1"/>
      <c r="J991" s="1"/>
      <c r="P991" s="1"/>
      <c r="V991" s="1"/>
      <c r="AB991" s="1"/>
      <c r="AH991" s="1"/>
      <c r="AN991" s="1"/>
      <c r="AT991" s="1"/>
      <c r="AZ991" s="4"/>
    </row>
    <row r="992" ht="12.75" customHeight="1">
      <c r="D992" s="1"/>
      <c r="J992" s="1"/>
      <c r="P992" s="1"/>
      <c r="V992" s="1"/>
      <c r="AB992" s="1"/>
      <c r="AH992" s="1"/>
      <c r="AN992" s="1"/>
      <c r="AT992" s="1"/>
      <c r="AZ992" s="4"/>
    </row>
    <row r="993" ht="12.75" customHeight="1">
      <c r="D993" s="1"/>
      <c r="J993" s="1"/>
      <c r="P993" s="1"/>
      <c r="V993" s="1"/>
      <c r="AB993" s="1"/>
      <c r="AH993" s="1"/>
      <c r="AN993" s="1"/>
      <c r="AT993" s="1"/>
      <c r="AZ993" s="4"/>
    </row>
    <row r="994" ht="12.75" customHeight="1">
      <c r="D994" s="1"/>
      <c r="J994" s="1"/>
      <c r="P994" s="1"/>
      <c r="V994" s="1"/>
      <c r="AB994" s="1"/>
      <c r="AH994" s="1"/>
      <c r="AN994" s="1"/>
      <c r="AT994" s="1"/>
      <c r="AZ994" s="4"/>
    </row>
    <row r="995" ht="12.75" customHeight="1">
      <c r="D995" s="1"/>
      <c r="J995" s="1"/>
      <c r="P995" s="1"/>
      <c r="V995" s="1"/>
      <c r="AB995" s="1"/>
      <c r="AH995" s="1"/>
      <c r="AN995" s="1"/>
      <c r="AT995" s="1"/>
      <c r="AZ995" s="4"/>
    </row>
    <row r="996" ht="12.75" customHeight="1">
      <c r="D996" s="1"/>
      <c r="J996" s="1"/>
      <c r="P996" s="1"/>
      <c r="V996" s="1"/>
      <c r="AB996" s="1"/>
      <c r="AH996" s="1"/>
      <c r="AN996" s="1"/>
      <c r="AT996" s="1"/>
      <c r="AZ996" s="4"/>
    </row>
    <row r="997" ht="12.75" customHeight="1">
      <c r="D997" s="1"/>
      <c r="J997" s="1"/>
      <c r="P997" s="1"/>
      <c r="V997" s="1"/>
      <c r="AB997" s="1"/>
      <c r="AH997" s="1"/>
      <c r="AN997" s="1"/>
      <c r="AT997" s="1"/>
      <c r="AZ997" s="4"/>
    </row>
    <row r="998" ht="12.75" customHeight="1">
      <c r="D998" s="1"/>
      <c r="J998" s="1"/>
      <c r="P998" s="1"/>
      <c r="V998" s="1"/>
      <c r="AB998" s="1"/>
      <c r="AH998" s="1"/>
      <c r="AN998" s="1"/>
      <c r="AT998" s="1"/>
      <c r="AZ998" s="4"/>
    </row>
    <row r="999" ht="12.75" customHeight="1">
      <c r="D999" s="1"/>
      <c r="J999" s="1"/>
      <c r="P999" s="1"/>
      <c r="V999" s="1"/>
      <c r="AB999" s="1"/>
      <c r="AH999" s="1"/>
      <c r="AN999" s="1"/>
      <c r="AT999" s="1"/>
      <c r="AZ999" s="4"/>
    </row>
    <row r="1000" ht="12.75" customHeight="1">
      <c r="D1000" s="1"/>
      <c r="J1000" s="1"/>
      <c r="P1000" s="1"/>
      <c r="V1000" s="1"/>
      <c r="AB1000" s="1"/>
      <c r="AH1000" s="1"/>
      <c r="AN1000" s="1"/>
      <c r="AT1000" s="1"/>
      <c r="AZ1000" s="4"/>
    </row>
  </sheetData>
  <mergeCells count="676">
    <mergeCell ref="AD13:AF13"/>
    <mergeCell ref="AH13:AI13"/>
    <mergeCell ref="Z11:AA11"/>
    <mergeCell ref="AO11:AR11"/>
    <mergeCell ref="AU11:AV11"/>
    <mergeCell ref="AW11:AX11"/>
    <mergeCell ref="AU12:AV12"/>
    <mergeCell ref="AW12:AX12"/>
    <mergeCell ref="AA13:AB13"/>
    <mergeCell ref="U1:AN1"/>
    <mergeCell ref="Q2:T2"/>
    <mergeCell ref="U2:AN2"/>
    <mergeCell ref="F4:M4"/>
    <mergeCell ref="U4:V4"/>
    <mergeCell ref="S5:T5"/>
    <mergeCell ref="N6:O6"/>
    <mergeCell ref="AH7:AI7"/>
    <mergeCell ref="AU9:AX9"/>
    <mergeCell ref="Q5:R5"/>
    <mergeCell ref="Q7:R7"/>
    <mergeCell ref="S7:T7"/>
    <mergeCell ref="AA7:AB7"/>
    <mergeCell ref="AD7:AF7"/>
    <mergeCell ref="B8:G8"/>
    <mergeCell ref="I8:J8"/>
    <mergeCell ref="Q10:R10"/>
    <mergeCell ref="S10:T10"/>
    <mergeCell ref="AA10:AB10"/>
    <mergeCell ref="AD10:AF10"/>
    <mergeCell ref="AH10:AI10"/>
    <mergeCell ref="B11:G11"/>
    <mergeCell ref="I11:J11"/>
    <mergeCell ref="AO13:AP13"/>
    <mergeCell ref="AQ13:AR13"/>
    <mergeCell ref="AO15:AP15"/>
    <mergeCell ref="AQ15:AR15"/>
    <mergeCell ref="AU13:AV13"/>
    <mergeCell ref="AW13:AX13"/>
    <mergeCell ref="AU17:AV17"/>
    <mergeCell ref="AW17:AX17"/>
    <mergeCell ref="AA16:AB16"/>
    <mergeCell ref="AD16:AF16"/>
    <mergeCell ref="AH16:AI16"/>
    <mergeCell ref="AO30:AP30"/>
    <mergeCell ref="AQ30:AR30"/>
    <mergeCell ref="AU30:AV30"/>
    <mergeCell ref="AW30:AX30"/>
    <mergeCell ref="AO22:AP22"/>
    <mergeCell ref="AQ22:AR22"/>
    <mergeCell ref="AO24:AP24"/>
    <mergeCell ref="AQ24:AR24"/>
    <mergeCell ref="AO26:AP26"/>
    <mergeCell ref="AQ26:AR26"/>
    <mergeCell ref="AQ28:AR28"/>
    <mergeCell ref="AI32:AJ32"/>
    <mergeCell ref="AI33:AJ33"/>
    <mergeCell ref="AK33:AL33"/>
    <mergeCell ref="AI34:AJ34"/>
    <mergeCell ref="AK34:AL34"/>
    <mergeCell ref="AO34:AP34"/>
    <mergeCell ref="AQ34:AR34"/>
    <mergeCell ref="AO28:AP28"/>
    <mergeCell ref="AI29:AL29"/>
    <mergeCell ref="AI31:AJ31"/>
    <mergeCell ref="AK31:AL31"/>
    <mergeCell ref="AK32:AL32"/>
    <mergeCell ref="AO32:AP32"/>
    <mergeCell ref="AQ32:AR32"/>
    <mergeCell ref="D12:F12"/>
    <mergeCell ref="H12:I12"/>
    <mergeCell ref="B14:G14"/>
    <mergeCell ref="I14:J14"/>
    <mergeCell ref="D15:M15"/>
    <mergeCell ref="Q16:R16"/>
    <mergeCell ref="S16:T16"/>
    <mergeCell ref="B17:G17"/>
    <mergeCell ref="I17:J17"/>
    <mergeCell ref="Q17:R17"/>
    <mergeCell ref="S17:T17"/>
    <mergeCell ref="Q19:R19"/>
    <mergeCell ref="S19:T19"/>
    <mergeCell ref="AA19:AB19"/>
    <mergeCell ref="AD19:AF19"/>
    <mergeCell ref="AA22:AB22"/>
    <mergeCell ref="AD22:AF22"/>
    <mergeCell ref="AH22:AI22"/>
    <mergeCell ref="AH19:AI19"/>
    <mergeCell ref="AO20:AP20"/>
    <mergeCell ref="AQ20:AR20"/>
    <mergeCell ref="AU20:AV20"/>
    <mergeCell ref="AW20:AX20"/>
    <mergeCell ref="AO21:AP21"/>
    <mergeCell ref="AQ21:AR21"/>
    <mergeCell ref="B20:G20"/>
    <mergeCell ref="I20:J20"/>
    <mergeCell ref="Q20:R20"/>
    <mergeCell ref="S20:T20"/>
    <mergeCell ref="B23:G23"/>
    <mergeCell ref="I23:J23"/>
    <mergeCell ref="S26:T26"/>
    <mergeCell ref="Q26:R26"/>
    <mergeCell ref="Q28:R28"/>
    <mergeCell ref="S28:T28"/>
    <mergeCell ref="K31:N31"/>
    <mergeCell ref="W31:Z31"/>
    <mergeCell ref="K33:L33"/>
    <mergeCell ref="M33:N33"/>
    <mergeCell ref="AI35:AJ35"/>
    <mergeCell ref="AI36:AJ36"/>
    <mergeCell ref="Q33:R33"/>
    <mergeCell ref="S33:T33"/>
    <mergeCell ref="Q35:R35"/>
    <mergeCell ref="S35:T35"/>
    <mergeCell ref="AK35:AL35"/>
    <mergeCell ref="K36:L36"/>
    <mergeCell ref="Y36:Z36"/>
    <mergeCell ref="AK36:AL36"/>
    <mergeCell ref="AK37:AL37"/>
    <mergeCell ref="AO37:AP37"/>
    <mergeCell ref="AQ37:AR37"/>
    <mergeCell ref="M36:N36"/>
    <mergeCell ref="W36:X36"/>
    <mergeCell ref="K37:L37"/>
    <mergeCell ref="M37:N37"/>
    <mergeCell ref="W37:X37"/>
    <mergeCell ref="Y37:Z37"/>
    <mergeCell ref="AI37:AJ37"/>
    <mergeCell ref="AI38:AJ38"/>
    <mergeCell ref="AI39:AJ39"/>
    <mergeCell ref="AI40:AJ40"/>
    <mergeCell ref="AK40:AL40"/>
    <mergeCell ref="AO40:AP40"/>
    <mergeCell ref="AQ40:AR40"/>
    <mergeCell ref="Q38:R38"/>
    <mergeCell ref="S38:T38"/>
    <mergeCell ref="Y38:Z38"/>
    <mergeCell ref="AC38:AF38"/>
    <mergeCell ref="AK38:AL38"/>
    <mergeCell ref="E39:H39"/>
    <mergeCell ref="Y39:Z39"/>
    <mergeCell ref="AK39:AL39"/>
    <mergeCell ref="S41:T41"/>
    <mergeCell ref="W41:X41"/>
    <mergeCell ref="Y41:Z41"/>
    <mergeCell ref="AI41:AJ41"/>
    <mergeCell ref="AK41:AL41"/>
    <mergeCell ref="W38:X38"/>
    <mergeCell ref="W39:X39"/>
    <mergeCell ref="Q40:R40"/>
    <mergeCell ref="S40:T40"/>
    <mergeCell ref="E41:F41"/>
    <mergeCell ref="G41:H41"/>
    <mergeCell ref="Q41:R41"/>
    <mergeCell ref="AI43:AJ43"/>
    <mergeCell ref="AK43:AL43"/>
    <mergeCell ref="AI44:AJ44"/>
    <mergeCell ref="AI45:AJ45"/>
    <mergeCell ref="AI47:AJ47"/>
    <mergeCell ref="AK47:AL47"/>
    <mergeCell ref="AI48:AJ48"/>
    <mergeCell ref="AK48:AL48"/>
    <mergeCell ref="AI49:AJ49"/>
    <mergeCell ref="Q49:R49"/>
    <mergeCell ref="Q50:R50"/>
    <mergeCell ref="Q52:R52"/>
    <mergeCell ref="S52:T52"/>
    <mergeCell ref="Q55:R55"/>
    <mergeCell ref="S55:T55"/>
    <mergeCell ref="E51:F51"/>
    <mergeCell ref="G51:H51"/>
    <mergeCell ref="W51:X51"/>
    <mergeCell ref="Y51:Z51"/>
    <mergeCell ref="AC51:AD51"/>
    <mergeCell ref="AE51:AF51"/>
    <mergeCell ref="AO51:AP51"/>
    <mergeCell ref="G48:H48"/>
    <mergeCell ref="Q48:R48"/>
    <mergeCell ref="E49:F49"/>
    <mergeCell ref="G49:H49"/>
    <mergeCell ref="S49:T49"/>
    <mergeCell ref="E50:F50"/>
    <mergeCell ref="G50:H50"/>
    <mergeCell ref="AE53:AF53"/>
    <mergeCell ref="AI53:AJ53"/>
    <mergeCell ref="AK53:AL53"/>
    <mergeCell ref="AO54:AP54"/>
    <mergeCell ref="AQ54:AR54"/>
    <mergeCell ref="E52:F52"/>
    <mergeCell ref="G52:H52"/>
    <mergeCell ref="AE52:AF52"/>
    <mergeCell ref="E53:F53"/>
    <mergeCell ref="G53:H53"/>
    <mergeCell ref="K53:L53"/>
    <mergeCell ref="Y53:Z53"/>
    <mergeCell ref="Q57:R57"/>
    <mergeCell ref="Q59:R59"/>
    <mergeCell ref="AI59:AJ59"/>
    <mergeCell ref="AK59:AL59"/>
    <mergeCell ref="U65:AN65"/>
    <mergeCell ref="U66:AN66"/>
    <mergeCell ref="B83:G83"/>
    <mergeCell ref="I83:J83"/>
    <mergeCell ref="Q84:T84"/>
    <mergeCell ref="AU89:AX89"/>
    <mergeCell ref="AU91:AV91"/>
    <mergeCell ref="AW91:AX91"/>
    <mergeCell ref="AW92:AX92"/>
    <mergeCell ref="G59:H59"/>
    <mergeCell ref="F67:M67"/>
    <mergeCell ref="N69:O69"/>
    <mergeCell ref="B71:G71"/>
    <mergeCell ref="I71:J71"/>
    <mergeCell ref="B74:G74"/>
    <mergeCell ref="I74:J74"/>
    <mergeCell ref="D75:F75"/>
    <mergeCell ref="H75:I75"/>
    <mergeCell ref="B77:G77"/>
    <mergeCell ref="I77:J77"/>
    <mergeCell ref="D78:M78"/>
    <mergeCell ref="B80:G80"/>
    <mergeCell ref="I80:J80"/>
    <mergeCell ref="B86:G86"/>
    <mergeCell ref="I86:J86"/>
    <mergeCell ref="Q87:R87"/>
    <mergeCell ref="S87:T87"/>
    <mergeCell ref="Q89:R89"/>
    <mergeCell ref="S89:T89"/>
    <mergeCell ref="S90:T90"/>
    <mergeCell ref="Q90:R90"/>
    <mergeCell ref="Q91:R91"/>
    <mergeCell ref="S91:T91"/>
    <mergeCell ref="Q92:R92"/>
    <mergeCell ref="S92:T92"/>
    <mergeCell ref="Q93:R93"/>
    <mergeCell ref="S93:T93"/>
    <mergeCell ref="Q94:R94"/>
    <mergeCell ref="S94:T94"/>
    <mergeCell ref="Q95:R95"/>
    <mergeCell ref="S95:T95"/>
    <mergeCell ref="Q96:R96"/>
    <mergeCell ref="S96:T96"/>
    <mergeCell ref="S97:T97"/>
    <mergeCell ref="Q103:R103"/>
    <mergeCell ref="Q105:R105"/>
    <mergeCell ref="S105:T105"/>
    <mergeCell ref="Q106:R106"/>
    <mergeCell ref="S106:T106"/>
    <mergeCell ref="Q107:R107"/>
    <mergeCell ref="S107:T107"/>
    <mergeCell ref="S98:T98"/>
    <mergeCell ref="Q99:R99"/>
    <mergeCell ref="S99:T99"/>
    <mergeCell ref="S101:T101"/>
    <mergeCell ref="Q102:R102"/>
    <mergeCell ref="S102:T102"/>
    <mergeCell ref="S103:T103"/>
    <mergeCell ref="AU108:AV108"/>
    <mergeCell ref="AU109:AV109"/>
    <mergeCell ref="AU110:AV110"/>
    <mergeCell ref="AW110:AX110"/>
    <mergeCell ref="AU111:AV111"/>
    <mergeCell ref="AW111:AX111"/>
    <mergeCell ref="AW114:AX114"/>
    <mergeCell ref="AO109:AP109"/>
    <mergeCell ref="AO111:AP111"/>
    <mergeCell ref="AQ111:AR111"/>
    <mergeCell ref="AO112:AP112"/>
    <mergeCell ref="AQ112:AR112"/>
    <mergeCell ref="AO113:AP113"/>
    <mergeCell ref="AQ113:AR113"/>
    <mergeCell ref="AO154:AR154"/>
    <mergeCell ref="AO155:AR155"/>
    <mergeCell ref="AO156:AR156"/>
    <mergeCell ref="AO149:AR149"/>
    <mergeCell ref="AO151:AR151"/>
    <mergeCell ref="AU151:AX151"/>
    <mergeCell ref="AO152:AR152"/>
    <mergeCell ref="AO153:AR153"/>
    <mergeCell ref="AU153:AX153"/>
    <mergeCell ref="AU154:AX154"/>
    <mergeCell ref="AO159:AR159"/>
    <mergeCell ref="AO160:AR160"/>
    <mergeCell ref="AO161:AR161"/>
    <mergeCell ref="AU155:AX155"/>
    <mergeCell ref="AU156:AX156"/>
    <mergeCell ref="AO157:AR157"/>
    <mergeCell ref="AU157:AX157"/>
    <mergeCell ref="AO158:AR158"/>
    <mergeCell ref="AU158:AX158"/>
    <mergeCell ref="AU159:AX159"/>
    <mergeCell ref="AU92:AV92"/>
    <mergeCell ref="AU93:AV93"/>
    <mergeCell ref="AW93:AX93"/>
    <mergeCell ref="AU94:AV94"/>
    <mergeCell ref="AW94:AX94"/>
    <mergeCell ref="AU95:AV95"/>
    <mergeCell ref="AW95:AX95"/>
    <mergeCell ref="AU97:AV97"/>
    <mergeCell ref="AW97:AX97"/>
    <mergeCell ref="AU98:AV98"/>
    <mergeCell ref="AW98:AX98"/>
    <mergeCell ref="AO101:AR101"/>
    <mergeCell ref="AU102:AV102"/>
    <mergeCell ref="AW102:AX102"/>
    <mergeCell ref="AO103:AP103"/>
    <mergeCell ref="AQ103:AR103"/>
    <mergeCell ref="AU103:AV103"/>
    <mergeCell ref="AW103:AX103"/>
    <mergeCell ref="AQ104:AR104"/>
    <mergeCell ref="AU104:AV104"/>
    <mergeCell ref="AW104:AX104"/>
    <mergeCell ref="AO104:AP104"/>
    <mergeCell ref="AO105:AP105"/>
    <mergeCell ref="AQ105:AR105"/>
    <mergeCell ref="AU105:AV105"/>
    <mergeCell ref="AW105:AX105"/>
    <mergeCell ref="AO106:AP106"/>
    <mergeCell ref="AQ106:AR106"/>
    <mergeCell ref="AU106:AV106"/>
    <mergeCell ref="AW106:AX106"/>
    <mergeCell ref="AU107:AV107"/>
    <mergeCell ref="AW107:AX107"/>
    <mergeCell ref="AW108:AX108"/>
    <mergeCell ref="AQ109:AR109"/>
    <mergeCell ref="AW109:AX109"/>
    <mergeCell ref="AU114:AV114"/>
    <mergeCell ref="AU117:AV117"/>
    <mergeCell ref="AW117:AX117"/>
    <mergeCell ref="AU119:AV119"/>
    <mergeCell ref="AW119:AX119"/>
    <mergeCell ref="AO165:AR165"/>
    <mergeCell ref="AO170:AR170"/>
    <mergeCell ref="AU170:AX170"/>
    <mergeCell ref="AU160:AX160"/>
    <mergeCell ref="AU161:AX161"/>
    <mergeCell ref="AO162:AR162"/>
    <mergeCell ref="AU162:AX162"/>
    <mergeCell ref="AO163:AR163"/>
    <mergeCell ref="AU163:AX163"/>
    <mergeCell ref="AU165:AX165"/>
    <mergeCell ref="Q97:R97"/>
    <mergeCell ref="E98:H98"/>
    <mergeCell ref="Q98:R98"/>
    <mergeCell ref="E100:F100"/>
    <mergeCell ref="G100:H100"/>
    <mergeCell ref="G101:H101"/>
    <mergeCell ref="Q101:R101"/>
    <mergeCell ref="E101:F101"/>
    <mergeCell ref="E102:F102"/>
    <mergeCell ref="G102:H102"/>
    <mergeCell ref="E103:F103"/>
    <mergeCell ref="G103:H103"/>
    <mergeCell ref="K103:N103"/>
    <mergeCell ref="G104:H104"/>
    <mergeCell ref="W106:Z106"/>
    <mergeCell ref="S108:T108"/>
    <mergeCell ref="W108:X108"/>
    <mergeCell ref="Y108:Z108"/>
    <mergeCell ref="AC108:AF108"/>
    <mergeCell ref="W109:X109"/>
    <mergeCell ref="Y109:Z109"/>
    <mergeCell ref="Q108:R108"/>
    <mergeCell ref="Q110:R110"/>
    <mergeCell ref="S110:T110"/>
    <mergeCell ref="W110:X110"/>
    <mergeCell ref="Y110:Z110"/>
    <mergeCell ref="AC110:AD110"/>
    <mergeCell ref="AE110:AF110"/>
    <mergeCell ref="W111:X111"/>
    <mergeCell ref="W112:X112"/>
    <mergeCell ref="W113:X113"/>
    <mergeCell ref="AE112:AF112"/>
    <mergeCell ref="AI112:AL112"/>
    <mergeCell ref="Q113:R113"/>
    <mergeCell ref="S113:T113"/>
    <mergeCell ref="Y113:Z113"/>
    <mergeCell ref="Q111:R111"/>
    <mergeCell ref="S111:T111"/>
    <mergeCell ref="Y111:Z111"/>
    <mergeCell ref="AE111:AF111"/>
    <mergeCell ref="Q112:R112"/>
    <mergeCell ref="S112:T112"/>
    <mergeCell ref="Y112:Z112"/>
    <mergeCell ref="Q115:R115"/>
    <mergeCell ref="Q116:R116"/>
    <mergeCell ref="S116:T116"/>
    <mergeCell ref="Q117:R117"/>
    <mergeCell ref="S117:T117"/>
    <mergeCell ref="Q118:R118"/>
    <mergeCell ref="S118:T118"/>
    <mergeCell ref="Q114:R114"/>
    <mergeCell ref="S114:T114"/>
    <mergeCell ref="AK114:AL114"/>
    <mergeCell ref="S115:T115"/>
    <mergeCell ref="AC115:AD115"/>
    <mergeCell ref="AE115:AF115"/>
    <mergeCell ref="AK115:AL115"/>
    <mergeCell ref="AC117:AD117"/>
    <mergeCell ref="AC119:AD119"/>
    <mergeCell ref="AE119:AF119"/>
    <mergeCell ref="AC111:AD111"/>
    <mergeCell ref="AC112:AD112"/>
    <mergeCell ref="AC114:AD114"/>
    <mergeCell ref="AE114:AF114"/>
    <mergeCell ref="AC116:AD116"/>
    <mergeCell ref="AE116:AF116"/>
    <mergeCell ref="AE117:AF117"/>
    <mergeCell ref="AI118:AJ118"/>
    <mergeCell ref="AI119:AJ119"/>
    <mergeCell ref="U124:AN124"/>
    <mergeCell ref="U125:AN125"/>
    <mergeCell ref="AI114:AJ114"/>
    <mergeCell ref="AI115:AJ115"/>
    <mergeCell ref="AI116:AJ116"/>
    <mergeCell ref="AK116:AL116"/>
    <mergeCell ref="AI117:AJ117"/>
    <mergeCell ref="AK117:AL117"/>
    <mergeCell ref="AK118:AL118"/>
    <mergeCell ref="Y177:Z177"/>
    <mergeCell ref="AC177:AD177"/>
    <mergeCell ref="AE177:AF177"/>
    <mergeCell ref="E177:F177"/>
    <mergeCell ref="G177:H177"/>
    <mergeCell ref="K177:L177"/>
    <mergeCell ref="M177:N177"/>
    <mergeCell ref="Q177:R177"/>
    <mergeCell ref="S177:T177"/>
    <mergeCell ref="W177:X177"/>
    <mergeCell ref="M178:N178"/>
    <mergeCell ref="Q178:R178"/>
    <mergeCell ref="S178:T178"/>
    <mergeCell ref="W178:X178"/>
    <mergeCell ref="Y178:Z178"/>
    <mergeCell ref="AC178:AD178"/>
    <mergeCell ref="AE178:AF178"/>
    <mergeCell ref="W179:X179"/>
    <mergeCell ref="Y179:Z179"/>
    <mergeCell ref="AC179:AD179"/>
    <mergeCell ref="AE179:AF179"/>
    <mergeCell ref="K178:L178"/>
    <mergeCell ref="E179:F179"/>
    <mergeCell ref="G179:H179"/>
    <mergeCell ref="K179:L179"/>
    <mergeCell ref="M179:N179"/>
    <mergeCell ref="Q179:R179"/>
    <mergeCell ref="S179:T179"/>
    <mergeCell ref="Y180:Z180"/>
    <mergeCell ref="AC180:AD180"/>
    <mergeCell ref="AE180:AF180"/>
    <mergeCell ref="E180:F180"/>
    <mergeCell ref="G180:H180"/>
    <mergeCell ref="K180:L180"/>
    <mergeCell ref="M180:N180"/>
    <mergeCell ref="Q180:R180"/>
    <mergeCell ref="S180:T180"/>
    <mergeCell ref="W180:X180"/>
    <mergeCell ref="B139:G139"/>
    <mergeCell ref="B142:G142"/>
    <mergeCell ref="I142:J142"/>
    <mergeCell ref="B145:G145"/>
    <mergeCell ref="I145:J145"/>
    <mergeCell ref="Q164:T164"/>
    <mergeCell ref="Q166:R166"/>
    <mergeCell ref="Q167:R167"/>
    <mergeCell ref="S167:T167"/>
    <mergeCell ref="Q168:R168"/>
    <mergeCell ref="E169:H169"/>
    <mergeCell ref="Q169:R169"/>
    <mergeCell ref="S169:T169"/>
    <mergeCell ref="W169:Z169"/>
    <mergeCell ref="W172:X172"/>
    <mergeCell ref="Y172:Z172"/>
    <mergeCell ref="AC172:AF172"/>
    <mergeCell ref="Q171:R171"/>
    <mergeCell ref="S171:T171"/>
    <mergeCell ref="W171:X171"/>
    <mergeCell ref="Y171:Z171"/>
    <mergeCell ref="K172:N172"/>
    <mergeCell ref="Q172:R172"/>
    <mergeCell ref="S172:T172"/>
    <mergeCell ref="W173:X173"/>
    <mergeCell ref="W174:X174"/>
    <mergeCell ref="W175:X175"/>
    <mergeCell ref="Y174:Z174"/>
    <mergeCell ref="AC174:AD174"/>
    <mergeCell ref="AE174:AF174"/>
    <mergeCell ref="Q173:R173"/>
    <mergeCell ref="S173:T173"/>
    <mergeCell ref="Y173:Z173"/>
    <mergeCell ref="K174:L174"/>
    <mergeCell ref="M174:N174"/>
    <mergeCell ref="Q174:R174"/>
    <mergeCell ref="S174:T174"/>
    <mergeCell ref="E42:F42"/>
    <mergeCell ref="G42:H42"/>
    <mergeCell ref="Q42:R42"/>
    <mergeCell ref="S42:T42"/>
    <mergeCell ref="W42:X42"/>
    <mergeCell ref="Y42:Z42"/>
    <mergeCell ref="AC42:AD42"/>
    <mergeCell ref="AE42:AF42"/>
    <mergeCell ref="AI42:AJ42"/>
    <mergeCell ref="AK42:AL42"/>
    <mergeCell ref="W43:X43"/>
    <mergeCell ref="Y43:Z43"/>
    <mergeCell ref="AC43:AD43"/>
    <mergeCell ref="AE43:AF43"/>
    <mergeCell ref="AC44:AD44"/>
    <mergeCell ref="AC45:AD45"/>
    <mergeCell ref="Y44:Z44"/>
    <mergeCell ref="AE44:AF44"/>
    <mergeCell ref="AK44:AL44"/>
    <mergeCell ref="E45:F45"/>
    <mergeCell ref="G45:H45"/>
    <mergeCell ref="Y45:Z45"/>
    <mergeCell ref="AE45:AF45"/>
    <mergeCell ref="AK45:AL45"/>
    <mergeCell ref="W44:X44"/>
    <mergeCell ref="W45:X45"/>
    <mergeCell ref="W46:X46"/>
    <mergeCell ref="Y46:Z46"/>
    <mergeCell ref="W47:X47"/>
    <mergeCell ref="Y47:Z47"/>
    <mergeCell ref="E48:F48"/>
    <mergeCell ref="S48:T48"/>
    <mergeCell ref="AK49:AL49"/>
    <mergeCell ref="AO49:AP49"/>
    <mergeCell ref="AQ49:AR49"/>
    <mergeCell ref="BA49:BD49"/>
    <mergeCell ref="AO50:AP50"/>
    <mergeCell ref="AQ50:AR50"/>
    <mergeCell ref="S50:T50"/>
    <mergeCell ref="W50:X50"/>
    <mergeCell ref="Y50:Z50"/>
    <mergeCell ref="AC50:AD50"/>
    <mergeCell ref="AE50:AF50"/>
    <mergeCell ref="AI50:AJ50"/>
    <mergeCell ref="AK50:AL50"/>
    <mergeCell ref="BA54:BB54"/>
    <mergeCell ref="BC54:BD54"/>
    <mergeCell ref="AQ51:AR51"/>
    <mergeCell ref="BA51:BB51"/>
    <mergeCell ref="BC51:BD51"/>
    <mergeCell ref="BA52:BB52"/>
    <mergeCell ref="BC52:BD52"/>
    <mergeCell ref="BA53:BB53"/>
    <mergeCell ref="BC53:BD53"/>
    <mergeCell ref="AC56:AD56"/>
    <mergeCell ref="AC58:AD58"/>
    <mergeCell ref="AE58:AF58"/>
    <mergeCell ref="AC52:AD52"/>
    <mergeCell ref="AC53:AD53"/>
    <mergeCell ref="AC54:AD54"/>
    <mergeCell ref="AE54:AF54"/>
    <mergeCell ref="AC55:AD55"/>
    <mergeCell ref="AE55:AF55"/>
    <mergeCell ref="AE56:AF56"/>
    <mergeCell ref="M53:N53"/>
    <mergeCell ref="W53:X53"/>
    <mergeCell ref="K54:L54"/>
    <mergeCell ref="M54:N54"/>
    <mergeCell ref="E56:F56"/>
    <mergeCell ref="G56:H56"/>
    <mergeCell ref="K56:L56"/>
    <mergeCell ref="S56:T56"/>
    <mergeCell ref="M56:N56"/>
    <mergeCell ref="Q56:R56"/>
    <mergeCell ref="S57:T57"/>
    <mergeCell ref="E58:F58"/>
    <mergeCell ref="G58:H58"/>
    <mergeCell ref="E59:F59"/>
    <mergeCell ref="S59:T59"/>
    <mergeCell ref="E104:F104"/>
    <mergeCell ref="E105:F105"/>
    <mergeCell ref="G105:H105"/>
    <mergeCell ref="E106:F106"/>
    <mergeCell ref="G106:H106"/>
    <mergeCell ref="E107:F107"/>
    <mergeCell ref="G107:H107"/>
    <mergeCell ref="E111:F111"/>
    <mergeCell ref="E112:F112"/>
    <mergeCell ref="E113:F113"/>
    <mergeCell ref="E114:F114"/>
    <mergeCell ref="E115:F115"/>
    <mergeCell ref="E116:F116"/>
    <mergeCell ref="E117:F117"/>
    <mergeCell ref="E108:F108"/>
    <mergeCell ref="G108:H108"/>
    <mergeCell ref="E109:F109"/>
    <mergeCell ref="G109:H109"/>
    <mergeCell ref="E110:F110"/>
    <mergeCell ref="G110:H110"/>
    <mergeCell ref="G111:H111"/>
    <mergeCell ref="K115:L115"/>
    <mergeCell ref="K118:L118"/>
    <mergeCell ref="K119:L119"/>
    <mergeCell ref="G112:H112"/>
    <mergeCell ref="G113:H113"/>
    <mergeCell ref="G114:H114"/>
    <mergeCell ref="G115:H115"/>
    <mergeCell ref="M115:N115"/>
    <mergeCell ref="G116:H116"/>
    <mergeCell ref="G117:H117"/>
    <mergeCell ref="M118:N118"/>
    <mergeCell ref="M119:N119"/>
    <mergeCell ref="F126:M126"/>
    <mergeCell ref="N128:O128"/>
    <mergeCell ref="B130:G130"/>
    <mergeCell ref="I130:J130"/>
    <mergeCell ref="I133:J133"/>
    <mergeCell ref="B133:G133"/>
    <mergeCell ref="D134:F134"/>
    <mergeCell ref="H134:I134"/>
    <mergeCell ref="B136:G136"/>
    <mergeCell ref="I136:J136"/>
    <mergeCell ref="D137:M137"/>
    <mergeCell ref="I139:J139"/>
    <mergeCell ref="AK119:AL119"/>
    <mergeCell ref="AO164:AR164"/>
    <mergeCell ref="AU164:AX164"/>
    <mergeCell ref="AO166:AR166"/>
    <mergeCell ref="AU166:AX166"/>
    <mergeCell ref="AO167:AR167"/>
    <mergeCell ref="AO168:AR168"/>
    <mergeCell ref="AO171:AR171"/>
    <mergeCell ref="AU171:AX171"/>
    <mergeCell ref="AU167:AX167"/>
    <mergeCell ref="AU168:AX168"/>
    <mergeCell ref="AI169:AL169"/>
    <mergeCell ref="AO169:AR169"/>
    <mergeCell ref="AU169:AX169"/>
    <mergeCell ref="AI171:AJ171"/>
    <mergeCell ref="AK171:AL171"/>
    <mergeCell ref="AI172:AJ172"/>
    <mergeCell ref="AK172:AL172"/>
    <mergeCell ref="AO172:AR172"/>
    <mergeCell ref="AU172:AX172"/>
    <mergeCell ref="AK173:AL173"/>
    <mergeCell ref="AO173:AR173"/>
    <mergeCell ref="AU173:AX173"/>
    <mergeCell ref="AU174:AX174"/>
    <mergeCell ref="AU175:AX175"/>
    <mergeCell ref="AI173:AJ173"/>
    <mergeCell ref="AI174:AJ174"/>
    <mergeCell ref="AK174:AL174"/>
    <mergeCell ref="AO174:AR174"/>
    <mergeCell ref="AI175:AJ175"/>
    <mergeCell ref="AK175:AL175"/>
    <mergeCell ref="AO175:AR175"/>
    <mergeCell ref="AO178:AR178"/>
    <mergeCell ref="AO179:AR179"/>
    <mergeCell ref="AU179:AX179"/>
    <mergeCell ref="AO180:AR180"/>
    <mergeCell ref="AU180:AX180"/>
    <mergeCell ref="AI177:AJ177"/>
    <mergeCell ref="AK177:AL177"/>
    <mergeCell ref="AO177:AR177"/>
    <mergeCell ref="AU177:AX177"/>
    <mergeCell ref="AI178:AJ178"/>
    <mergeCell ref="AK178:AL178"/>
    <mergeCell ref="AU178:AX178"/>
    <mergeCell ref="W176:X176"/>
    <mergeCell ref="Y176:Z176"/>
    <mergeCell ref="AC176:AD176"/>
    <mergeCell ref="AE176:AF176"/>
    <mergeCell ref="AI176:AJ176"/>
    <mergeCell ref="AK176:AL176"/>
    <mergeCell ref="AO176:AR176"/>
    <mergeCell ref="AU176:AX176"/>
    <mergeCell ref="Q175:R175"/>
    <mergeCell ref="S175:T175"/>
    <mergeCell ref="Y175:Z175"/>
    <mergeCell ref="AC175:AD175"/>
    <mergeCell ref="AE175:AF175"/>
    <mergeCell ref="Q176:R176"/>
    <mergeCell ref="S176:T176"/>
  </mergeCells>
  <conditionalFormatting sqref="E41:H59">
    <cfRule type="cellIs" dxfId="0" priority="1" operator="equal">
      <formula>6</formula>
    </cfRule>
  </conditionalFormatting>
  <conditionalFormatting sqref="E41:H59">
    <cfRule type="cellIs" dxfId="1" priority="2" operator="equal">
      <formula>5</formula>
    </cfRule>
  </conditionalFormatting>
  <conditionalFormatting sqref="E41:H59">
    <cfRule type="cellIs" dxfId="2" priority="3" operator="equal">
      <formula>4</formula>
    </cfRule>
  </conditionalFormatting>
  <conditionalFormatting sqref="E41:H59">
    <cfRule type="cellIs" dxfId="3" priority="4" operator="equal">
      <formula>3</formula>
    </cfRule>
  </conditionalFormatting>
  <conditionalFormatting sqref="E41:H59">
    <cfRule type="cellIs" dxfId="4" priority="5" operator="equal">
      <formula>2</formula>
    </cfRule>
  </conditionalFormatting>
  <conditionalFormatting sqref="E41:H59">
    <cfRule type="cellIs" dxfId="5" priority="6" operator="equal">
      <formula>1</formula>
    </cfRule>
  </conditionalFormatting>
  <conditionalFormatting sqref="K33:N59">
    <cfRule type="cellIs" dxfId="0" priority="7" operator="equal">
      <formula>6</formula>
    </cfRule>
  </conditionalFormatting>
  <conditionalFormatting sqref="K33:N59">
    <cfRule type="cellIs" dxfId="1" priority="8" operator="equal">
      <formula>5</formula>
    </cfRule>
  </conditionalFormatting>
  <conditionalFormatting sqref="K33:N59">
    <cfRule type="cellIs" dxfId="2" priority="9" operator="equal">
      <formula>4</formula>
    </cfRule>
  </conditionalFormatting>
  <conditionalFormatting sqref="K33:N59">
    <cfRule type="cellIs" dxfId="3" priority="10" operator="equal">
      <formula>3</formula>
    </cfRule>
  </conditionalFormatting>
  <conditionalFormatting sqref="K33:N59">
    <cfRule type="cellIs" dxfId="4" priority="11" operator="equal">
      <formula>2</formula>
    </cfRule>
  </conditionalFormatting>
  <conditionalFormatting sqref="K33:N59">
    <cfRule type="cellIs" dxfId="5" priority="12" operator="equal">
      <formula>1</formula>
    </cfRule>
  </conditionalFormatting>
  <conditionalFormatting sqref="E100:H119 E171:H180 K105:N119 K174:K180 L174:L176 L179 M174:M180 N174:N176 N179 Q3:T59 Q86:T119 Q166:Q180 R167 R169:R180 S166:S180 T166 T168:T180 W33:Z59 W108:Z119 W171:Z180 AC40:AF59 AC110:AC119 AC174:AF180 AD110:AD111 AD113:AD119 AE110:AF119 AI31:AL59 AI171:AL180 AO13:AR59 AO103:AR119 AO151:AR180 AU11:AX59 AU91:AU119 AU153:AX180 AV91:AX106 AV109:AX119 AW107:AX108 BA51:BD59">
    <cfRule type="cellIs" dxfId="0" priority="13" operator="equal">
      <formula>6</formula>
    </cfRule>
  </conditionalFormatting>
  <conditionalFormatting sqref="E100:H119 E171:H180 K105:N119 K174:K180 L174:L176 L179 M174:M180 N174:N176 N179 Q3:T59 Q86:T119 Q166:Q180 R167 R169:R180 S166:S180 T166 T168:T180 W33:Z59 W108:Z119 W171:Z180 AC40:AF59 AC110:AC119 AC174:AF180 AD110:AD111 AD113:AD119 AE110:AF119 AI31:AL59 AI171:AL180 AO13:AR59 AO103:AR119 AO151:AR180 AU11:AX59 AU91:AU119 AU153:AX180 AV91:AX106 AV109:AX119 AW107:AX108 BA51:BD59">
    <cfRule type="cellIs" dxfId="1" priority="14" operator="equal">
      <formula>5</formula>
    </cfRule>
  </conditionalFormatting>
  <conditionalFormatting sqref="E100:H119 E171:H180 K105:N119 K174:K180 L174:L176 L179 M174:M180 N174:N176 N179 Q3:T59 Q86:T119 Q166:Q180 R167 R169:R180 S166:S180 T166 T168:T180 W33:Z59 W108:Z119 W171:Z180 AC40:AF59 AC110:AC119 AC174:AF180 AD110:AD111 AD113:AD119 AE110:AF119 AI31:AL59 AI171:AL180 AO13:AR59 AO103:AR119 AO151:AR180 AU11:AX59 AU91:AU119 AU153:AX180 AV91:AX106 AV109:AX119 AW107:AX108 BA51:BD59">
    <cfRule type="cellIs" dxfId="2" priority="15" operator="equal">
      <formula>4</formula>
    </cfRule>
  </conditionalFormatting>
  <conditionalFormatting sqref="E100:H119 E171:H180 K105:N119 K174:K180 L174:L176 L179 M174:M180 N174:N176 N179 Q3:T59 Q86:T119 Q166:Q180 R167 R169:R180 S166:S180 T166 T168:T180 W33:Z59 W108:Z119 W171:Z180 AC40:AF59 AC110:AC119 AC174:AF180 AD110:AD111 AD113:AD119 AE110:AF119 AI31:AL59 AI171:AL180 AO13:AR59 AO103:AR119 AO151:AR180 AU11:AX59 AU91:AU119 AU153:AX180 AV91:AX106 AV109:AX119 AW107:AX108 BA51:BD59">
    <cfRule type="cellIs" dxfId="3" priority="16" operator="equal">
      <formula>3</formula>
    </cfRule>
  </conditionalFormatting>
  <conditionalFormatting sqref="E100:H119 E171:H180 K105:N119 K174:K180 L174:L176 L179 M174:M180 N174:N176 N179 Q3:T59 Q86:T119 Q166:Q180 R167 R169:R180 S166:S180 T166 T168:T180 W33:Z59 W108:Z119 W171:Z180 AC40:AF59 AC110:AC119 AC174:AF180 AD110:AD111 AD113:AD119 AE110:AF119 AI31:AL59 AI171:AL180 AO13:AR59 AO103:AR119 AO151:AR180 AU11:AX59 AU91:AU119 AU153:AX180 AV91:AX106 AV109:AX119 AW107:AX108 BA51:BD59">
    <cfRule type="cellIs" dxfId="4" priority="17" operator="equal">
      <formula>2</formula>
    </cfRule>
  </conditionalFormatting>
  <conditionalFormatting sqref="E100:H119 E171:H180 K105:N119 K174:K180 L174:L176 L179 M174:M180 N174:N176 N179 Q3:T59 Q86:T119 Q166:Q180 R167 R169:R180 S166:S180 T166 T168:T180 W33:Z59 W108:Z119 W171:Z180 AC40:AF59 AC110:AC119 AC174:AF180 AD110:AD111 AD113:AD119 AE110:AF119 AI31:AL59 AI171:AL180 AO13:AR59 AO103:AR119 AO151:AR180 AU11:AX59 AU91:AU119 AU153:AX180 AV91:AX106 AV109:AX119 AW107:AX108 BA51:BD59">
    <cfRule type="cellIs" dxfId="5" priority="18" operator="equal">
      <formula>1</formula>
    </cfRule>
  </conditionalFormatting>
  <conditionalFormatting sqref="AI114:AL119">
    <cfRule type="cellIs" dxfId="0" priority="19" operator="equal">
      <formula>6</formula>
    </cfRule>
  </conditionalFormatting>
  <conditionalFormatting sqref="AI114:AL119">
    <cfRule type="cellIs" dxfId="1" priority="20" operator="equal">
      <formula>5</formula>
    </cfRule>
  </conditionalFormatting>
  <conditionalFormatting sqref="AI114:AL119">
    <cfRule type="cellIs" dxfId="2" priority="21" operator="equal">
      <formula>4</formula>
    </cfRule>
  </conditionalFormatting>
  <conditionalFormatting sqref="AI114:AL119">
    <cfRule type="cellIs" dxfId="3" priority="22" operator="equal">
      <formula>3</formula>
    </cfRule>
  </conditionalFormatting>
  <conditionalFormatting sqref="AI114:AL119">
    <cfRule type="cellIs" dxfId="4" priority="23" operator="equal">
      <formula>2</formula>
    </cfRule>
  </conditionalFormatting>
  <conditionalFormatting sqref="AI114:AL119">
    <cfRule type="cellIs" dxfId="5" priority="24" operator="equal">
      <formula>1</formula>
    </cfRule>
  </conditionalFormatting>
  <conditionalFormatting sqref="I71:J71 I74:J74 I77:J77 I80:J80 I83 I86 I130:J130 I133:J133 I136:J136 I139:J139 I142:J142 I145">
    <cfRule type="cellIs" dxfId="6" priority="25" stopIfTrue="1" operator="equal">
      <formula>0</formula>
    </cfRule>
  </conditionalFormatting>
  <printOptions horizontalCentered="1"/>
  <pageMargins bottom="0.25" footer="0.0" header="0.0" left="0.5" right="0.5" top="0.25"/>
  <pageSetup orientation="landscape"/>
  <rowBreaks count="2" manualBreakCount="2">
    <brk id="122" man="1"/>
    <brk id="63" man="1"/>
  </rowBreak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2002-03-20T03:19:48Z</dcterms:created>
  <dc:creator>Cristy Molfino</dc:creator>
</cp:coreProperties>
</file>